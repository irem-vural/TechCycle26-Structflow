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1b56cd02a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09acebb4c3194a5e"/>
    <x:sheet xmlns:r="http://schemas.openxmlformats.org/officeDocument/2006/relationships" name="Sonuç" sheetId="2" r:id="R71915a6aca244e5c"/>
    <x:sheet xmlns:r="http://schemas.openxmlformats.org/officeDocument/2006/relationships" name="Referanslar" sheetId="3" r:id="R0c060235eb1347e7"/>
    <x:sheet xmlns:r="http://schemas.openxmlformats.org/officeDocument/2006/relationships" name="Reçeteler" sheetId="4" r:id="R28f74d6689394045"/>
  </x:sheets>
</x:workbook>
</file>

<file path=xl/sharedStrings.xml><?xml version="1.0" encoding="utf-8"?>
<x:sst xmlns:x="http://schemas.openxmlformats.org/spreadsheetml/2006/main">
  <x:si>
    <x:t xml:space="preserve">Karışım No</x:t>
  </x:si>
  <x:si>
    <x:t xml:space="preserve">Çimento</x:t>
  </x:si>
  <x:si>
    <x:t xml:space="preserve">Uçucu Kül</x:t>
  </x:si>
  <x:si>
    <x:t xml:space="preserve">Yüksek Fırın Cürufu (GGBFS)</x:t>
  </x:si>
  <x:si>
    <x:t xml:space="preserve">Silis Dumanı</x:t>
  </x:si>
  <x:si>
    <x:t xml:space="preserve">Metakaolin (kg)</x:t>
  </x:si>
  <x:si>
    <x:t xml:space="preserve">İnce Agrega (Doğal Kum)</x:t>
  </x:si>
  <x:si>
    <x:t xml:space="preserve">İri Agrega (Kırma Taş)</x:t>
  </x:si>
  <x:si>
    <x:t xml:space="preserve">Geri Dönüştürülmüş Agrega (RCA)</x:t>
  </x:si>
  <x:si>
    <x:t xml:space="preserve">Hafif Agrega</x:t>
  </x:si>
  <x:si>
    <x:t xml:space="preserve">Ağır Agrega</x:t>
  </x:si>
  <x:si>
    <x:t xml:space="preserve">Su</x:t>
  </x:si>
  <x:si>
    <x:t xml:space="preserve">Süperakışkanlaştırıcı/Su Azaltıcı</x:t>
  </x:si>
  <x:si>
    <x:t xml:space="preserve">Hava Sürükleyici Katkı</x:t>
  </x:si>
  <x:si>
    <x:t xml:space="preserve">Priz Hızlandırıcı/Geciktirici</x:t>
  </x:si>
  <x:si>
    <x:t xml:space="preserve">Fiber (Çelik/PP/Cam)</x:t>
  </x:si>
  <x:si>
    <x:t xml:space="preserve">Hava (Hedef İçerik)</x:t>
  </x:si>
  <x:si>
    <x:t xml:space="preserve">Basınç dayanımı (MPa)</x:t>
  </x:si>
  <x:si>
    <x:t xml:space="preserve">Literatür çalışma</x:t>
  </x:si>
  <x:si>
    <x:t xml:space="preserve">Link</x:t>
  </x:si>
  <x:si>
    <x:t xml:space="preserve">400YFC1111.1InA507.0IA172S</x:t>
  </x:si>
  <x:si>
    <x:t xml:space="preserve">0kg</x:t>
  </x:si>
  <x:si>
    <x:t xml:space="preserve">0(kg)</x:t>
  </x:si>
  <x:si>
    <x:t xml:space="preserve">400 (kg)</x:t>
  </x:si>
  <x:si>
    <x:t xml:space="preserve">0 (kg)</x:t>
  </x:si>
  <x:si>
    <x:t xml:space="preserve">1111.07(kg)</x:t>
  </x:si>
  <x:si>
    <x:t xml:space="preserve">507.02(kg)</x:t>
  </x:si>
  <x:si>
    <x:t xml:space="preserve">172 kg</x:t>
  </x:si>
  <x:si>
    <x:t xml:space="preserve">62.50</x:t>
  </x:si>
  <x:si>
    <x:t xml:space="preserve">"Geopolimer Betonlarda Uçucu Kül ve Yüksek Fırın Cürufu Kullanımının İncelenmesi, Yüksek Lisans Tezi, 2019"</x:t>
  </x:si>
  <x:si>
    <x:t xml:space="preserve">https://www.proquest.com/openview/f42d49a660499af95567e2a1c64731ae/1?pq-origsite=gscholar&amp;cbl=2026366&amp;diss=y</x:t>
  </x:si>
  <x:si>
    <x:t xml:space="preserve">300YFC1111.1InA507.0IA172S</x:t>
  </x:si>
  <x:si>
    <x:t xml:space="preserve">300 (kg)</x:t>
  </x:si>
  <x:si>
    <x:t xml:space="preserve">50.90</x:t>
  </x:si>
  <x:si>
    <x:t xml:space="preserve">200UK200YFC1111.1InA507.0IA172S</x:t>
  </x:si>
  <x:si>
    <x:t xml:space="preserve">200(kg)</x:t>
  </x:si>
  <x:si>
    <x:t xml:space="preserve">45.78</x:t>
  </x:si>
  <x:si>
    <x:t xml:space="preserve">300UK100YFC1111.1InA507.0IA172S</x:t>
  </x:si>
  <x:si>
    <x:t xml:space="preserve">300(kg)</x:t>
  </x:si>
  <x:si>
    <x:t xml:space="preserve">100(kg)</x:t>
  </x:si>
  <x:si>
    <x:t xml:space="preserve">27.00</x:t>
  </x:si>
  <x:si>
    <x:t xml:space="preserve">400UK1111.1InA507.0IA172S</x:t>
  </x:si>
  <x:si>
    <x:t xml:space="preserve">400(kg)</x:t>
  </x:si>
  <x:si>
    <x:t xml:space="preserve">0 kg</x:t>
  </x:si>
  <x:si>
    <x:t xml:space="preserve">16.65</x:t>
  </x:si>
  <x:si>
    <x:t xml:space="preserve">488Ç866InA897IA170S</x:t>
  </x:si>
  <x:si>
    <x:t xml:space="preserve">488 kg</x:t>
  </x:si>
  <x:si>
    <x:t xml:space="preserve">866 (kg)</x:t>
  </x:si>
  <x:si>
    <x:t xml:space="preserve">897 (kg)</x:t>
  </x:si>
  <x:si>
    <x:t xml:space="preserve">170 kg</x:t>
  </x:si>
  <x:si>
    <x:t xml:space="preserve">3.39 kg</x:t>
  </x:si>
  <x:si>
    <x:t xml:space="preserve">76.9</x:t>
  </x:si>
  <x:si>
    <x:t xml:space="preserve">Hamalı (2007)</x:t>
  </x:si>
  <x:si>
    <x:t xml:space="preserve">https://polen.itu.edu.tr/entities/publication/6209cb74-7f2e-487e-9e36-7607ebbbcac1</x:t>
  </x:si>
  <x:si>
    <x:t xml:space="preserve">446Ç38.8MK877InA904IA171S</x:t>
  </x:si>
  <x:si>
    <x:t xml:space="preserve">446 kg</x:t>
  </x:si>
  <x:si>
    <x:t xml:space="preserve">38.8 kg</x:t>
  </x:si>
  <x:si>
    <x:t xml:space="preserve">877 (kg)</x:t>
  </x:si>
  <x:si>
    <x:t xml:space="preserve">904 (kg)</x:t>
  </x:si>
  <x:si>
    <x:t xml:space="preserve">171 kg</x:t>
  </x:si>
  <x:si>
    <x:t xml:space="preserve">4.64 kg</x:t>
  </x:si>
  <x:si>
    <x:t xml:space="preserve">79.3</x:t>
  </x:si>
  <x:si>
    <x:t xml:space="preserve">406Ç77.4MK862InA891IA169S</x:t>
  </x:si>
  <x:si>
    <x:t xml:space="preserve">406 kg</x:t>
  </x:si>
  <x:si>
    <x:t xml:space="preserve">77.4 kg</x:t>
  </x:si>
  <x:si>
    <x:t xml:space="preserve">862 (kg)</x:t>
  </x:si>
  <x:si>
    <x:t xml:space="preserve">891 (kg)</x:t>
  </x:si>
  <x:si>
    <x:t xml:space="preserve">169 kg</x:t>
  </x:si>
  <x:si>
    <x:t xml:space="preserve">3.36 kg</x:t>
  </x:si>
  <x:si>
    <x:t xml:space="preserve">81.2</x:t>
  </x:si>
  <x:si>
    <x:t xml:space="preserve">387Ç921InA939IA174S</x:t>
  </x:si>
  <x:si>
    <x:t xml:space="preserve">387 kg</x:t>
  </x:si>
  <x:si>
    <x:t xml:space="preserve">921 (kg)</x:t>
  </x:si>
  <x:si>
    <x:t xml:space="preserve">939 (kg)</x:t>
  </x:si>
  <x:si>
    <x:t xml:space="preserve">174 kg</x:t>
  </x:si>
  <x:si>
    <x:t xml:space="preserve">3.30 kg</x:t>
  </x:si>
  <x:si>
    <x:t xml:space="preserve">73.0</x:t>
  </x:si>
  <x:si>
    <x:t xml:space="preserve">351Ç30.5MK906InA948IA172S</x:t>
  </x:si>
  <x:si>
    <x:t xml:space="preserve">351 kg</x:t>
  </x:si>
  <x:si>
    <x:t xml:space="preserve">30.5kg</x:t>
  </x:si>
  <x:si>
    <x:t xml:space="preserve">906 (kg)</x:t>
  </x:si>
  <x:si>
    <x:t xml:space="preserve">948 (kg)</x:t>
  </x:si>
  <x:si>
    <x:t xml:space="preserve">3.26 kg</x:t>
  </x:si>
  <x:si>
    <x:t xml:space="preserve">77.3</x:t>
  </x:si>
  <x:si>
    <x:t xml:space="preserve">320Ç61MK901InA931IA172S</x:t>
  </x:si>
  <x:si>
    <x:t xml:space="preserve">320 kg</x:t>
  </x:si>
  <x:si>
    <x:t xml:space="preserve">61.0 kg</x:t>
  </x:si>
  <x:si>
    <x:t xml:space="preserve">901 (kg)</x:t>
  </x:si>
  <x:si>
    <x:t xml:space="preserve">931 (kg)</x:t>
  </x:si>
  <x:si>
    <x:t xml:space="preserve">3.25 kg</x:t>
  </x:si>
  <x:si>
    <x:t xml:space="preserve">84.4</x:t>
  </x:si>
  <x:si>
    <x:t xml:space="preserve">500Ç967InA694IA175S</x:t>
  </x:si>
  <x:si>
    <x:t xml:space="preserve">500 kg</x:t>
  </x:si>
  <x:si>
    <x:t xml:space="preserve">967 (kg)</x:t>
  </x:si>
  <x:si>
    <x:t xml:space="preserve">694 (kg)</x:t>
  </x:si>
  <x:si>
    <x:t xml:space="preserve"> 175 (kg)</x:t>
  </x:si>
  <x:si>
    <x:t xml:space="preserve">8 kg</x:t>
  </x:si>
  <x:si>
    <x:t xml:space="preserve">78.3</x:t>
  </x:si>
  <x:si>
    <x:t xml:space="preserve">Tohumcu ve Bingöl (2013)</x:t>
  </x:si>
  <x:si>
    <x:t xml:space="preserve">https://dergipark.org.tr/en/download/article-file/589012</x:t>
  </x:si>
  <x:si>
    <x:t xml:space="preserve">475Ç25SD958InA687IA175S</x:t>
  </x:si>
  <x:si>
    <x:t xml:space="preserve">475 kg</x:t>
  </x:si>
  <x:si>
    <x:t xml:space="preserve">25 (kg)</x:t>
  </x:si>
  <x:si>
    <x:t xml:space="preserve">958 (kg)</x:t>
  </x:si>
  <x:si>
    <x:t xml:space="preserve">687 (kg)</x:t>
  </x:si>
  <x:si>
    <x:t xml:space="preserve">175 (kg)</x:t>
  </x:si>
  <x:si>
    <x:t xml:space="preserve">78.4</x:t>
  </x:si>
  <x:si>
    <x:t xml:space="preserve">450Ç50SD954InA685IA175S</x:t>
  </x:si>
  <x:si>
    <x:t xml:space="preserve">450 kg</x:t>
  </x:si>
  <x:si>
    <x:t xml:space="preserve">50 (kg)</x:t>
  </x:si>
  <x:si>
    <x:t xml:space="preserve">954 (kg)</x:t>
  </x:si>
  <x:si>
    <x:t xml:space="preserve">685 (kg)</x:t>
  </x:si>
  <x:si>
    <x:t xml:space="preserve">9 kg</x:t>
  </x:si>
  <x:si>
    <x:t xml:space="preserve">81.9</x:t>
  </x:si>
  <x:si>
    <x:t xml:space="preserve">425Ç75SD948InA681IA175S</x:t>
  </x:si>
  <x:si>
    <x:t xml:space="preserve">425 kg</x:t>
  </x:si>
  <x:si>
    <x:t xml:space="preserve">75 (kg)</x:t>
  </x:si>
  <x:si>
    <x:t xml:space="preserve">681 (kg)</x:t>
  </x:si>
  <x:si>
    <x:t xml:space="preserve">10 kg</x:t>
  </x:si>
  <x:si>
    <x:t xml:space="preserve">87.6</x:t>
  </x:si>
  <x:si>
    <x:t xml:space="preserve">375Ç125UK938InA673IA175S</x:t>
  </x:si>
  <x:si>
    <x:t xml:space="preserve">375 kg</x:t>
  </x:si>
  <x:si>
    <x:t xml:space="preserve">125 kg</x:t>
  </x:si>
  <x:si>
    <x:t xml:space="preserve">938 (kg)</x:t>
  </x:si>
  <x:si>
    <x:t xml:space="preserve">673 (kg)</x:t>
  </x:si>
  <x:si>
    <x:t xml:space="preserve">7.5 (kg)</x:t>
  </x:si>
  <x:si>
    <x:t xml:space="preserve">61.5</x:t>
  </x:si>
  <x:si>
    <x:t xml:space="preserve">300Ç200UK923InA663IA175S</x:t>
  </x:si>
  <x:si>
    <x:t xml:space="preserve">300 kg</x:t>
  </x:si>
  <x:si>
    <x:t xml:space="preserve">200 kg</x:t>
  </x:si>
  <x:si>
    <x:t xml:space="preserve">923 (kg)</x:t>
  </x:si>
  <x:si>
    <x:t xml:space="preserve">663 (kg)</x:t>
  </x:si>
  <x:si>
    <x:t xml:space="preserve">55.1</x:t>
  </x:si>
  <x:si>
    <x:t xml:space="preserve">225Ç275UK908InA652IA175S</x:t>
  </x:si>
  <x:si>
    <x:t xml:space="preserve">225 kg</x:t>
  </x:si>
  <x:si>
    <x:t xml:space="preserve">275 kg</x:t>
  </x:si>
  <x:si>
    <x:t xml:space="preserve">908 (kg)</x:t>
  </x:si>
  <x:si>
    <x:t xml:space="preserve">652 (kg)</x:t>
  </x:si>
  <x:si>
    <x:t xml:space="preserve">42.0</x:t>
  </x:si>
  <x:si>
    <x:t xml:space="preserve">427.5Ç22.5SD990InA735IA171S</x:t>
  </x:si>
  <x:si>
    <x:t xml:space="preserve">427.5 kg</x:t>
  </x:si>
  <x:si>
    <x:t xml:space="preserve">22.5(kg)</x:t>
  </x:si>
  <x:si>
    <x:t xml:space="preserve">990 (kg)</x:t>
  </x:si>
  <x:si>
    <x:t xml:space="preserve"> 735 (kg)</x:t>
  </x:si>
  <x:si>
    <x:t xml:space="preserve">8.0 (kg)</x:t>
  </x:si>
  <x:si>
    <x:t xml:space="preserve">58.0</x:t>
  </x:si>
  <x:si>
    <x:t xml:space="preserve">Türk vd. (2008)</x:t>
  </x:si>
  <x:si>
    <x:t xml:space="preserve">https://www.researchgate.net/profile/Kazim-Turk/publication/314151378_Farkli_Oranlarda_Silis_Dumani_kameli_Kendiliginden_Sikisan_Betonun_Muhendislik_Ozellikleri/links/58b726c1a6fdcc2d14d701bb/Farkli-Oranlarda-Silis-Dumani-kameli-Kendiliginden-Sikisan-Betonun-Muehendislik-Oezellikleri.pdf</x:t>
  </x:si>
  <x:si>
    <x:t xml:space="preserve">405Ç45SD990InA735IA171S</x:t>
  </x:si>
  <x:si>
    <x:t xml:space="preserve">405.0 kg</x:t>
  </x:si>
  <x:si>
    <x:t xml:space="preserve">45.0(kg)</x:t>
  </x:si>
  <x:si>
    <x:t xml:space="preserve">63.0 </x:t>
  </x:si>
  <x:si>
    <x:t xml:space="preserve">382.5Ç67.5SD990InA735IA180S</x:t>
  </x:si>
  <x:si>
    <x:t xml:space="preserve">382.5 kg</x:t>
  </x:si>
  <x:si>
    <x:t xml:space="preserve">67.5 kg</x:t>
  </x:si>
  <x:si>
    <x:t xml:space="preserve">180 kg</x:t>
  </x:si>
  <x:si>
    <x:t xml:space="preserve">68.0</x:t>
  </x:si>
  <x:si>
    <x:t xml:space="preserve">360Ç90SD990InA735IA180S</x:t>
  </x:si>
  <x:si>
    <x:t xml:space="preserve">360.0(kg)</x:t>
  </x:si>
  <x:si>
    <x:t xml:space="preserve">90.0 kg</x:t>
  </x:si>
  <x:si>
    <x:t xml:space="preserve">66.0</x:t>
  </x:si>
  <x:si>
    <x:t xml:space="preserve">350Ç448InA1345IA195S</x:t>
  </x:si>
  <x:si>
    <x:t xml:space="preserve">350.0kg</x:t>
  </x:si>
  <x:si>
    <x:t xml:space="preserve"> 448(kg)</x:t>
  </x:si>
  <x:si>
    <x:t xml:space="preserve"> 1345(kg)</x:t>
  </x:si>
  <x:si>
    <x:t xml:space="preserve">195 kg</x:t>
  </x:si>
  <x:si>
    <x:t xml:space="preserve">1.75kg</x:t>
  </x:si>
  <x:si>
    <x:t xml:space="preserve">36.79 </x:t>
  </x:si>
  <x:si>
    <x:t xml:space="preserve">Demir (2009)</x:t>
  </x:si>
  <x:si>
    <x:t xml:space="preserve">https://dergipark.org.tr/en/pub/umagd/article/345668</x:t>
  </x:si>
  <x:si>
    <x:t xml:space="preserve">332.5Ç17.5SD448InA1345IA195S</x:t>
  </x:si>
  <x:si>
    <x:t xml:space="preserve">332.5kg</x:t>
  </x:si>
  <x:si>
    <x:t xml:space="preserve">17.5 (kg)</x:t>
  </x:si>
  <x:si>
    <x:t xml:space="preserve">1.66kg</x:t>
  </x:si>
  <x:si>
    <x:t xml:space="preserve">38.77</x:t>
  </x:si>
  <x:si>
    <x:t xml:space="preserve">315Ç35SD448InA1345IA195S</x:t>
  </x:si>
  <x:si>
    <x:t xml:space="preserve">315.0kg</x:t>
  </x:si>
  <x:si>
    <x:t xml:space="preserve">35.0  (kg)</x:t>
  </x:si>
  <x:si>
    <x:t xml:space="preserve">1.58kg</x:t>
  </x:si>
  <x:si>
    <x:t xml:space="preserve">42.32 </x:t>
  </x:si>
  <x:si>
    <x:t xml:space="preserve">297.5Ç52.5SD448InA1345IA195S</x:t>
  </x:si>
  <x:si>
    <x:t xml:space="preserve">297.5kg</x:t>
  </x:si>
  <x:si>
    <x:t xml:space="preserve">52.5 (kg)</x:t>
  </x:si>
  <x:si>
    <x:t xml:space="preserve">1.49kg</x:t>
  </x:si>
  <x:si>
    <x:t xml:space="preserve">38.67 </x:t>
  </x:si>
  <x:si>
    <x:t xml:space="preserve">280Ç70SD448InA1345IA195S</x:t>
  </x:si>
  <x:si>
    <x:t xml:space="preserve">280.0kg</x:t>
  </x:si>
  <x:si>
    <x:t xml:space="preserve">70.0 (kg)</x:t>
  </x:si>
  <x:si>
    <x:t xml:space="preserve">1.40kg</x:t>
  </x:si>
  <x:si>
    <x:t xml:space="preserve">44.03 </x:t>
  </x:si>
  <x:si>
    <x:t xml:space="preserve">262.5Ç87.5SD448InA1345IA195S</x:t>
  </x:si>
  <x:si>
    <x:t xml:space="preserve">262.5kg</x:t>
  </x:si>
  <x:si>
    <x:t xml:space="preserve">87.5 (kg)</x:t>
  </x:si>
  <x:si>
    <x:t xml:space="preserve">1.31kg</x:t>
  </x:si>
  <x:si>
    <x:t xml:space="preserve">43.89 </x:t>
  </x:si>
  <x:si>
    <x:t xml:space="preserve">332.5Ç17.5UK807InA986IA195S</x:t>
  </x:si>
  <x:si>
    <x:t xml:space="preserve">17.5 kg</x:t>
  </x:si>
  <x:si>
    <x:t xml:space="preserve">807 (kg)</x:t>
  </x:si>
  <x:si>
    <x:t xml:space="preserve">986(kg)</x:t>
  </x:si>
  <x:si>
    <x:t xml:space="preserve">38.42 </x:t>
  </x:si>
  <x:si>
    <x:t xml:space="preserve">315Ç35UK807InA986IA195S</x:t>
  </x:si>
  <x:si>
    <x:t xml:space="preserve">35.0 kg</x:t>
  </x:si>
  <x:si>
    <x:t xml:space="preserve">39.23 </x:t>
  </x:si>
  <x:si>
    <x:t xml:space="preserve">297.5Ç52.5UK807InA986IA195S</x:t>
  </x:si>
  <x:si>
    <x:t xml:space="preserve">52.5  kg</x:t>
  </x:si>
  <x:si>
    <x:t xml:space="preserve">38.61</x:t>
  </x:si>
  <x:si>
    <x:t xml:space="preserve">280Ç70UK807InA986IA195S</x:t>
  </x:si>
  <x:si>
    <x:t xml:space="preserve">70.0 kg</x:t>
  </x:si>
  <x:si>
    <x:t xml:space="preserve">37.43 </x:t>
  </x:si>
  <x:si>
    <x:t xml:space="preserve">262.5Ç87.5UK807InA986IA195S</x:t>
  </x:si>
  <x:si>
    <x:t xml:space="preserve">262.5 kg</x:t>
  </x:si>
  <x:si>
    <x:t xml:space="preserve">87.5 kg</x:t>
  </x:si>
  <x:si>
    <x:t xml:space="preserve">35.82 </x:t>
  </x:si>
  <x:si>
    <x:t xml:space="preserve">630Ç1306InA245.7S</x:t>
  </x:si>
  <x:si>
    <x:t xml:space="preserve">630kg</x:t>
  </x:si>
  <x:si>
    <x:t xml:space="preserve">1306(kg)</x:t>
  </x:si>
  <x:si>
    <x:t xml:space="preserve">245.7 kg</x:t>
  </x:si>
  <x:si>
    <x:t xml:space="preserve">7.56</x:t>
  </x:si>
  <x:si>
    <x:t xml:space="preserve">Benli ve Karataş (2019)</x:t>
  </x:si>
  <x:si>
    <x:t xml:space="preserve">https://dergipark.org.tr/en/pub/dumf/issue/43791/474074</x:t>
  </x:si>
  <x:si>
    <x:t xml:space="preserve">529.2Ç63UK37.8SD1278InA252S</x:t>
  </x:si>
  <x:si>
    <x:t xml:space="preserve">529.2kg</x:t>
  </x:si>
  <x:si>
    <x:t xml:space="preserve">63kg</x:t>
  </x:si>
  <x:si>
    <x:t xml:space="preserve">37.8(kg)</x:t>
  </x:si>
  <x:si>
    <x:t xml:space="preserve">1278(kg)</x:t>
  </x:si>
  <x:si>
    <x:t xml:space="preserve">252.0 kg</x:t>
  </x:si>
  <x:si>
    <x:t xml:space="preserve">59.7 </x:t>
  </x:si>
  <x:si>
    <x:t xml:space="preserve">504Ç63UK63SD1236InA264.6S</x:t>
  </x:si>
  <x:si>
    <x:t xml:space="preserve">504kg</x:t>
  </x:si>
  <x:si>
    <x:t xml:space="preserve">63(kg)</x:t>
  </x:si>
  <x:si>
    <x:t xml:space="preserve">1236(kg)</x:t>
  </x:si>
  <x:si>
    <x:t xml:space="preserve">264.6 kg</x:t>
  </x:si>
  <x:si>
    <x:t xml:space="preserve">478.8Ç63UK88.2SD1211InA277.2S</x:t>
  </x:si>
  <x:si>
    <x:t xml:space="preserve">478.8(kg)</x:t>
  </x:si>
  <x:si>
    <x:t xml:space="preserve">88.2(kg)</x:t>
  </x:si>
  <x:si>
    <x:t xml:space="preserve">1211(kg)</x:t>
  </x:si>
  <x:si>
    <x:t xml:space="preserve">277.2 kg</x:t>
  </x:si>
  <x:si>
    <x:t xml:space="preserve">466.2Ç126UK37.8SD1282InA245.7S</x:t>
  </x:si>
  <x:si>
    <x:t xml:space="preserve">466.2(kg)</x:t>
  </x:si>
  <x:si>
    <x:t xml:space="preserve">126 kg</x:t>
  </x:si>
  <x:si>
    <x:t xml:space="preserve">1282(kg)</x:t>
  </x:si>
  <x:si>
    <x:t xml:space="preserve">441Ç126UK63SD1207InA277.2S</x:t>
  </x:si>
  <x:si>
    <x:t xml:space="preserve">441(kg)</x:t>
  </x:si>
  <x:si>
    <x:t xml:space="preserve">126kg</x:t>
  </x:si>
  <x:si>
    <x:t xml:space="preserve">1207(kg)</x:t>
  </x:si>
  <x:si>
    <x:t xml:space="preserve">7.56 kg</x:t>
  </x:si>
  <x:si>
    <x:t xml:space="preserve">355Ç452InA1405IA178S</x:t>
  </x:si>
  <x:si>
    <x:t xml:space="preserve">355(kg)</x:t>
  </x:si>
  <x:si>
    <x:t xml:space="preserve">452(kg)</x:t>
  </x:si>
  <x:si>
    <x:t xml:space="preserve">1405 (kg)</x:t>
  </x:si>
  <x:si>
    <x:t xml:space="preserve">178 (kg)</x:t>
  </x:si>
  <x:si>
    <x:t xml:space="preserve">1.78 (kg)</x:t>
  </x:si>
  <x:si>
    <x:t xml:space="preserve">48.37 </x:t>
  </x:si>
  <x:si>
    <x:t xml:space="preserve">Erdinç (1995)</x:t>
  </x:si>
  <x:si>
    <x:t xml:space="preserve">https://polen.itu.edu.tr/entities/publication/bbe9f6d2-deae-4161-a1ac-54d45cee7fd1</x:t>
  </x:si>
  <x:si>
    <x:t xml:space="preserve">295Ç164UK399InA1238IA172S</x:t>
  </x:si>
  <x:si>
    <x:t xml:space="preserve">295(kg)</x:t>
  </x:si>
  <x:si>
    <x:t xml:space="preserve">164(kg)</x:t>
  </x:si>
  <x:si>
    <x:t xml:space="preserve">399(kg)</x:t>
  </x:si>
  <x:si>
    <x:t xml:space="preserve">1238 (kg)</x:t>
  </x:si>
  <x:si>
    <x:t xml:space="preserve">172 (kg)</x:t>
  </x:si>
  <x:si>
    <x:t xml:space="preserve">2.95 (kg)</x:t>
  </x:si>
  <x:si>
    <x:t xml:space="preserve">51.57 </x:t>
  </x:si>
  <x:si>
    <x:t xml:space="preserve">241Ç321UK353InA1097IA183S</x:t>
  </x:si>
  <x:si>
    <x:t xml:space="preserve">241(kg)</x:t>
  </x:si>
  <x:si>
    <x:t xml:space="preserve">321(kg)</x:t>
  </x:si>
  <x:si>
    <x:t xml:space="preserve">353(kg)</x:t>
  </x:si>
  <x:si>
    <x:t xml:space="preserve">1097 (kg)</x:t>
  </x:si>
  <x:si>
    <x:t xml:space="preserve">183 (kg)</x:t>
  </x:si>
  <x:si>
    <x:t xml:space="preserve">4.10 (kg)</x:t>
  </x:si>
  <x:si>
    <x:t xml:space="preserve">38.44 </x:t>
  </x:si>
  <x:si>
    <x:t xml:space="preserve">243Ç485InA1507IA122S</x:t>
  </x:si>
  <x:si>
    <x:t xml:space="preserve">243(kg)</x:t>
  </x:si>
  <x:si>
    <x:t xml:space="preserve">485(kg)</x:t>
  </x:si>
  <x:si>
    <x:t xml:space="preserve">1507 (kg)</x:t>
  </x:si>
  <x:si>
    <x:t xml:space="preserve">122 (kg)</x:t>
  </x:si>
  <x:si>
    <x:t xml:space="preserve">1.46 (kg)</x:t>
  </x:si>
  <x:si>
    <x:t xml:space="preserve">46.53 </x:t>
  </x:si>
  <x:si>
    <x:t xml:space="preserve">196Ç163UK432InA1343IA122S</x:t>
  </x:si>
  <x:si>
    <x:t xml:space="preserve">196(kg)</x:t>
  </x:si>
  <x:si>
    <x:t xml:space="preserve">163(kg)</x:t>
  </x:si>
  <x:si>
    <x:t xml:space="preserve">432(kg)</x:t>
  </x:si>
  <x:si>
    <x:t xml:space="preserve">1343 (kg)</x:t>
  </x:si>
  <x:si>
    <x:t xml:space="preserve">2.35 (kg)</x:t>
  </x:si>
  <x:si>
    <x:t xml:space="preserve">36.73 </x:t>
  </x:si>
  <x:si>
    <x:t xml:space="preserve">139Ç309UK372InA1156IA142S</x:t>
  </x:si>
  <x:si>
    <x:t xml:space="preserve">139(kg)</x:t>
  </x:si>
  <x:si>
    <x:t xml:space="preserve">309(kg)</x:t>
  </x:si>
  <x:si>
    <x:t xml:space="preserve">372(kg)</x:t>
  </x:si>
  <x:si>
    <x:t xml:space="preserve">1156 (kg)</x:t>
  </x:si>
  <x:si>
    <x:t xml:space="preserve">142 (kg)</x:t>
  </x:si>
  <x:si>
    <x:t xml:space="preserve">03.06 (kg)</x:t>
  </x:si>
  <x:si>
    <x:t xml:space="preserve">25.51 </x:t>
  </x:si>
  <x:si>
    <x:t xml:space="preserve">375Ç125UK910InA735IA505S</x:t>
  </x:si>
  <x:si>
    <x:t xml:space="preserve">375(kg)</x:t>
  </x:si>
  <x:si>
    <x:t xml:space="preserve">125(kg)</x:t>
  </x:si>
  <x:si>
    <x:t xml:space="preserve">910 (kg)</x:t>
  </x:si>
  <x:si>
    <x:t xml:space="preserve">735 (kg)</x:t>
  </x:si>
  <x:si>
    <x:t xml:space="preserve">505 (kg)</x:t>
  </x:si>
  <x:si>
    <x:t xml:space="preserve">6.75 (kg)</x:t>
  </x:si>
  <x:si>
    <x:t xml:space="preserve">49.0 </x:t>
  </x:si>
  <x:si>
    <x:t xml:space="preserve">Türk vd. (2006)</x:t>
  </x:si>
  <x:si>
    <x:t xml:space="preserve">https://www.academia.edu/download/55620882/D5.pdf</x:t>
  </x:si>
  <x:si>
    <x:t xml:space="preserve">350Ç150UK910InA735IA490S</x:t>
  </x:si>
  <x:si>
    <x:t xml:space="preserve">350(kg)</x:t>
  </x:si>
  <x:si>
    <x:t xml:space="preserve">150(kg)</x:t>
  </x:si>
  <x:si>
    <x:t xml:space="preserve">490 (kg)</x:t>
  </x:si>
  <x:si>
    <x:t xml:space="preserve">45.0 </x:t>
  </x:si>
  <x:si>
    <x:t xml:space="preserve">325Ç175UK910InA735IA480S</x:t>
  </x:si>
  <x:si>
    <x:t xml:space="preserve">325(kg)</x:t>
  </x:si>
  <x:si>
    <x:t xml:space="preserve">480 (kg)</x:t>
  </x:si>
  <x:si>
    <x:t xml:space="preserve">42.5 </x:t>
  </x:si>
  <x:si>
    <x:t xml:space="preserve">300Ç200UK910InA735IA465S</x:t>
  </x:si>
  <x:si>
    <x:t xml:space="preserve">465 (kg)</x:t>
  </x:si>
  <x:si>
    <x:t xml:space="preserve">260Ç650InA1205IA175S</x:t>
  </x:si>
  <x:si>
    <x:t xml:space="preserve">260(kg)</x:t>
  </x:si>
  <x:si>
    <x:t xml:space="preserve">650 (kg)</x:t>
  </x:si>
  <x:si>
    <x:t xml:space="preserve">1205(kg)</x:t>
  </x:si>
  <x:si>
    <x:t xml:space="preserve">2.60(kg)</x:t>
  </x:si>
  <x:si>
    <x:t xml:space="preserve">30.2 </x:t>
  </x:si>
  <x:si>
    <x:t xml:space="preserve">Akyüncü (2012)</x:t>
  </x:si>
  <x:si>
    <x:t xml:space="preserve">https://search.proquest.com/openview/e4b05bd03bda0bebfc80232d533d3f42/1?pq-origsite=gscholar&amp;cbl=2026366&amp;diss=y</x:t>
  </x:si>
  <x:si>
    <x:t xml:space="preserve">234Ç39UK643InA1192IA175S</x:t>
  </x:si>
  <x:si>
    <x:t xml:space="preserve">234(kg)</x:t>
  </x:si>
  <x:si>
    <x:t xml:space="preserve">39(kg)</x:t>
  </x:si>
  <x:si>
    <x:t xml:space="preserve">643(kg)</x:t>
  </x:si>
  <x:si>
    <x:t xml:space="preserve">1192(kg)</x:t>
  </x:si>
  <x:si>
    <x:t xml:space="preserve">2.34(kg)</x:t>
  </x:si>
  <x:si>
    <x:t xml:space="preserve">216Ç52UK640InA1187IA175S</x:t>
  </x:si>
  <x:si>
    <x:t xml:space="preserve">216(kg)</x:t>
  </x:si>
  <x:si>
    <x:t xml:space="preserve">52(kg)</x:t>
  </x:si>
  <x:si>
    <x:t xml:space="preserve">640(kg)</x:t>
  </x:si>
  <x:si>
    <x:t xml:space="preserve">1187(kg)</x:t>
  </x:si>
  <x:si>
    <x:t xml:space="preserve">2.16(kg)</x:t>
  </x:si>
  <x:si>
    <x:t xml:space="preserve">240Ç648InA1238IA119S</x:t>
  </x:si>
  <x:si>
    <x:t xml:space="preserve"> 240 (kg)</x:t>
  </x:si>
  <x:si>
    <x:t xml:space="preserve">648 (kg)</x:t>
  </x:si>
  <x:si>
    <x:t xml:space="preserve">119 (kg)</x:t>
  </x:si>
  <x:si>
    <x:t xml:space="preserve">6.0 (kg)</x:t>
  </x:si>
  <x:si>
    <x:t xml:space="preserve">43.5 </x:t>
  </x:si>
  <x:si>
    <x:t xml:space="preserve">Anuk (2004)</x:t>
  </x:si>
  <x:si>
    <x:t xml:space="preserve">https://polen.itu.edu.tr/entities/publication/3b093a59-5b02-4679-8410-4373a417bf30</x:t>
  </x:si>
  <x:si>
    <x:t xml:space="preserve">240Ç41UK622InA1189IA127S</x:t>
  </x:si>
  <x:si>
    <x:t xml:space="preserve">41 (kg)</x:t>
  </x:si>
  <x:si>
    <x:t xml:space="preserve">622 (kg)</x:t>
  </x:si>
  <x:si>
    <x:t xml:space="preserve">1189 (kg)</x:t>
  </x:si>
  <x:si>
    <x:t xml:space="preserve">127 (kg)</x:t>
  </x:si>
  <x:si>
    <x:t xml:space="preserve">43.7 </x:t>
  </x:si>
  <x:si>
    <x:t xml:space="preserve">240Ç79UK602InA1151IA133S</x:t>
  </x:si>
  <x:si>
    <x:t xml:space="preserve">79 (kg)</x:t>
  </x:si>
  <x:si>
    <x:t xml:space="preserve">602 (kg)</x:t>
  </x:si>
  <x:si>
    <x:t xml:space="preserve">1151 (kg)</x:t>
  </x:si>
  <x:si>
    <x:t xml:space="preserve">133 (kg)</x:t>
  </x:si>
  <x:si>
    <x:t xml:space="preserve">44.1 </x:t>
  </x:si>
  <x:si>
    <x:t xml:space="preserve">240Ç120UK582InA1113IA137S</x:t>
  </x:si>
  <x:si>
    <x:t xml:space="preserve">120 (kg)</x:t>
  </x:si>
  <x:si>
    <x:t xml:space="preserve">582 (kg)</x:t>
  </x:si>
  <x:si>
    <x:t xml:space="preserve">1113 (kg)</x:t>
  </x:si>
  <x:si>
    <x:t xml:space="preserve">137 (kg)</x:t>
  </x:si>
  <x:si>
    <x:t xml:space="preserve">44.6 </x:t>
  </x:si>
  <x:si>
    <x:t xml:space="preserve">500Ç659InA1162IA140S</x:t>
  </x:si>
  <x:si>
    <x:t xml:space="preserve">500 (kg)</x:t>
  </x:si>
  <x:si>
    <x:t xml:space="preserve">659 (kg)</x:t>
  </x:si>
  <x:si>
    <x:t xml:space="preserve">1162 (kg)</x:t>
  </x:si>
  <x:si>
    <x:t xml:space="preserve">140 (kg)</x:t>
  </x:si>
  <x:si>
    <x:t xml:space="preserve">8.5 (kg)</x:t>
  </x:si>
  <x:si>
    <x:t xml:space="preserve">81.1</x:t>
  </x:si>
  <x:si>
    <x:t xml:space="preserve">Li ve Zhao (2003)</x:t>
  </x:si>
  <x:si>
    <x:t xml:space="preserve">https://www.sciencedirect.com/science/article/pii/S0958946502000586?casa_token=pcgIci37OYIAAAAA:QSVhoEXzwta2ZJeqEm1UPyy41SvnT8DWWF9MqozHRwrzyOTa0tjSeSwIc7fO1bNywmLUz_OZtuk</x:t>
  </x:si>
  <x:si>
    <x:t xml:space="preserve">300Ç200UK644InA1135IA140S</x:t>
  </x:si>
  <x:si>
    <x:t xml:space="preserve">200 (kg)</x:t>
  </x:si>
  <x:si>
    <x:t xml:space="preserve">644 (kg)</x:t>
  </x:si>
  <x:si>
    <x:t xml:space="preserve">1135 (kg)</x:t>
  </x:si>
  <x:si>
    <x:t xml:space="preserve">65.2</x:t>
  </x:si>
  <x:si>
    <x:t xml:space="preserve">300Ç125UK75YFC647InA1140IA140S</x:t>
  </x:si>
  <x:si>
    <x:t xml:space="preserve">125 (kg)</x:t>
  </x:si>
  <x:si>
    <x:t xml:space="preserve">647 (kg)</x:t>
  </x:si>
  <x:si>
    <x:t xml:space="preserve">1140 (kg)</x:t>
  </x:si>
  <x:si>
    <x:t xml:space="preserve">10.0 (kg)</x:t>
  </x:si>
  <x:si>
    <x:t xml:space="preserve">80.6</x:t>
  </x:si>
  <x:si>
    <x:t xml:space="preserve">510Ç653InA1122.5IA153S</x:t>
  </x:si>
  <x:si>
    <x:t xml:space="preserve">510 (kg)</x:t>
  </x:si>
  <x:si>
    <x:t xml:space="preserve">653 (kg)</x:t>
  </x:si>
  <x:si>
    <x:t xml:space="preserve">1122.5 (kg)</x:t>
  </x:si>
  <x:si>
    <x:t xml:space="preserve">153 (kg)</x:t>
  </x:si>
  <x:si>
    <x:t xml:space="preserve">17.85 (kg)</x:t>
  </x:si>
  <x:si>
    <x:t xml:space="preserve">Bhanja ve Sengupta (2005)</x:t>
  </x:si>
  <x:si>
    <x:t xml:space="preserve">https://www.sciencedirect.com/science/article/pii/S000888460400225X?casa_token=HL9CvyXEwUQAAAAA:Jdl7LGRNIEN2XT79BzUjvptPgabUw7LW9CAllpXIXaBAG0cY1Mc8rBq8Mi_7XrsRLeLW6JHFvvM</x:t>
  </x:si>
  <x:si>
    <x:t xml:space="preserve">459Ç51SD653InA1122.5IA153S</x:t>
  </x:si>
  <x:si>
    <x:t xml:space="preserve">459 (kg)</x:t>
  </x:si>
  <x:si>
    <x:t xml:space="preserve">51 (kg)</x:t>
  </x:si>
  <x:si>
    <x:t xml:space="preserve">79.0</x:t>
  </x:si>
  <x:si>
    <x:t xml:space="preserve">408Ç102SD653InA1122.5IA153S</x:t>
  </x:si>
  <x:si>
    <x:t xml:space="preserve">408 (kg)</x:t>
  </x:si>
  <x:si>
    <x:t xml:space="preserve">102 (kg)</x:t>
  </x:si>
  <x:si>
    <x:t xml:space="preserve">88.0</x:t>
  </x:si>
  <x:si>
    <x:t xml:space="preserve">500Ç640InA1100IA170S</x:t>
  </x:si>
  <x:si>
    <x:t xml:space="preserve">640 (kg)</x:t>
  </x:si>
  <x:si>
    <x:t xml:space="preserve">1100 (kg)</x:t>
  </x:si>
  <x:si>
    <x:t xml:space="preserve">170 (kg)</x:t>
  </x:si>
  <x:si>
    <x:t xml:space="preserve">17.50 (kg)</x:t>
  </x:si>
  <x:si>
    <x:t xml:space="preserve">59.0</x:t>
  </x:si>
  <x:si>
    <x:t xml:space="preserve">450Ç50SD640InA1100IA170S</x:t>
  </x:si>
  <x:si>
    <x:t xml:space="preserve">450 (kg)</x:t>
  </x:si>
  <x:si>
    <x:t xml:space="preserve">72.0</x:t>
  </x:si>
  <x:si>
    <x:t xml:space="preserve">400Ç100SD640InA1100IA170S</x:t>
  </x:si>
  <x:si>
    <x:t xml:space="preserve">100 (kg)</x:t>
  </x:si>
  <x:si>
    <x:t xml:space="preserve">82.0</x:t>
  </x:si>
  <x:si>
    <x:t xml:space="preserve">490Ç628InA1078IA186.2S</x:t>
  </x:si>
  <x:si>
    <x:t xml:space="preserve">628 (kg)</x:t>
  </x:si>
  <x:si>
    <x:t xml:space="preserve">1078 (kg)</x:t>
  </x:si>
  <x:si>
    <x:t xml:space="preserve">186.2 (kg)</x:t>
  </x:si>
  <x:si>
    <x:t xml:space="preserve">17.25 (kg)</x:t>
  </x:si>
  <x:si>
    <x:t xml:space="preserve">55.0</x:t>
  </x:si>
  <x:si>
    <x:t xml:space="preserve">441Ç49SD628InA1078IA186.2S</x:t>
  </x:si>
  <x:si>
    <x:t xml:space="preserve">441 (kg)</x:t>
  </x:si>
  <x:si>
    <x:t xml:space="preserve">49 (kg)</x:t>
  </x:si>
  <x:si>
    <x:t xml:space="preserve">17.15 (kg)</x:t>
  </x:si>
  <x:si>
    <x:t xml:space="preserve">392Ç98SD628InA1078IA186.2S</x:t>
  </x:si>
  <x:si>
    <x:t xml:space="preserve">392 (kg)</x:t>
  </x:si>
  <x:si>
    <x:t xml:space="preserve">98 (kg)</x:t>
  </x:si>
  <x:si>
    <x:t xml:space="preserve">69.0</x:t>
  </x:si>
  <x:si>
    <x:t xml:space="preserve">500Ç647InA1203IA175S</x:t>
  </x:si>
  <x:si>
    <x:t xml:space="preserve">1203 (kg)</x:t>
  </x:si>
  <x:si>
    <x:t xml:space="preserve">8.17 (kg)</x:t>
  </x:si>
  <x:si>
    <x:t xml:space="preserve">Mazloom vd. (2004)</x:t>
  </x:si>
  <x:si>
    <x:t xml:space="preserve">https://www.sciencedirect.com/science/article/pii/S0958946503000179?casa_token=pUhZ8WSQjWwAAAAA:XGvx69YvFEmsmu5QTVSJKwuM6QQQiZW0yEs3m3RofLVLoRb-F061SZWrQ6eA1iWiIwtRsHhuIbs</x:t>
  </x:si>
  <x:si>
    <x:t xml:space="preserve">470Ç30SD647InA1203IA175S</x:t>
  </x:si>
  <x:si>
    <x:t xml:space="preserve">470 (kg)</x:t>
  </x:si>
  <x:si>
    <x:t xml:space="preserve">30 (kg)</x:t>
  </x:si>
  <x:si>
    <x:t xml:space="preserve">9.78 (kg)</x:t>
  </x:si>
  <x:si>
    <x:t xml:space="preserve">65.0</x:t>
  </x:si>
  <x:si>
    <x:t xml:space="preserve">450Ç50SD647InA1203IA175S</x:t>
  </x:si>
  <x:si>
    <x:t xml:space="preserve">11.71 (kg)</x:t>
  </x:si>
  <x:si>
    <x:t xml:space="preserve">67.5</x:t>
  </x:si>
  <x:si>
    <x:t xml:space="preserve">425Ç75SD647InA1203IA175S</x:t>
  </x:si>
  <x:si>
    <x:t xml:space="preserve">425 (kg)</x:t>
  </x:si>
  <x:si>
    <x:t xml:space="preserve">13.34 (kg)</x:t>
  </x:si>
  <x:si>
    <x:t xml:space="preserve">70.0</x:t>
  </x:si>
  <x:si>
    <x:t xml:space="preserve">550Ç638InA1192IA141S</x:t>
  </x:si>
  <x:si>
    <x:t xml:space="preserve">550 (kg)</x:t>
  </x:si>
  <x:si>
    <x:t xml:space="preserve">638 (kg)</x:t>
  </x:si>
  <x:si>
    <x:t xml:space="preserve">1192 (kg)</x:t>
  </x:si>
  <x:si>
    <x:t xml:space="preserve">141 (kg)</x:t>
  </x:si>
  <x:si>
    <x:t xml:space="preserve">30.25 (kg)</x:t>
  </x:si>
  <x:si>
    <x:t xml:space="preserve">95.0</x:t>
  </x:si>
  <x:si>
    <x:t xml:space="preserve">Duval ve Kadri (1998)</x:t>
  </x:si>
  <x:si>
    <x:t xml:space="preserve">https://www.sciencedirect.com/science/article/pii/S0008884698000106?casa_token=eF6QmCSKNGEAAAAA:fnGSZl0LMMHeX46G5NnEnM2v9X3fvIB2Zxor1YxxFdiUe6Bre1MWB3RhcrJjUKtHoK2TWhUh1OE</x:t>
  </x:si>
  <x:si>
    <x:t xml:space="preserve">495Ç55SD640InA1200IA141S</x:t>
  </x:si>
  <x:si>
    <x:t xml:space="preserve">495 (kg)</x:t>
  </x:si>
  <x:si>
    <x:t xml:space="preserve">55 (kg)</x:t>
  </x:si>
  <x:si>
    <x:t xml:space="preserve">1200 (kg)</x:t>
  </x:si>
  <x:si>
    <x:t xml:space="preserve">15.40 (kg)</x:t>
  </x:si>
  <x:si>
    <x:t xml:space="preserve">104.0</x:t>
  </x:si>
  <x:si>
    <x:t xml:space="preserve">440Ç110SD620InA1190IA141S</x:t>
  </x:si>
  <x:si>
    <x:t xml:space="preserve">440 (kg)</x:t>
  </x:si>
  <x:si>
    <x:t xml:space="preserve">110 (kg)</x:t>
  </x:si>
  <x:si>
    <x:t xml:space="preserve">620 (kg)</x:t>
  </x:si>
  <x:si>
    <x:t xml:space="preserve">1190 (kg)</x:t>
  </x:si>
  <x:si>
    <x:t xml:space="preserve">18.70 (kg)</x:t>
  </x:si>
  <x:si>
    <x:t xml:space="preserve">102.0</x:t>
  </x:si>
  <x:si>
    <x:t xml:space="preserve">460Ç688InA1208IA141S</x:t>
  </x:si>
  <x:si>
    <x:t xml:space="preserve">460 (kg)</x:t>
  </x:si>
  <x:si>
    <x:t xml:space="preserve">688 (kg)</x:t>
  </x:si>
  <x:si>
    <x:t xml:space="preserve">1208 (kg)</x:t>
  </x:si>
  <x:si>
    <x:t xml:space="preserve">11.96 (kg)</x:t>
  </x:si>
  <x:si>
    <x:t xml:space="preserve">414Ç46SD682InA1206IA141S</x:t>
  </x:si>
  <x:si>
    <x:t xml:space="preserve">414 (kg)</x:t>
  </x:si>
  <x:si>
    <x:t xml:space="preserve">46 (kg)</x:t>
  </x:si>
  <x:si>
    <x:t xml:space="preserve">682 (kg)</x:t>
  </x:si>
  <x:si>
    <x:t xml:space="preserve">1206 (kg)</x:t>
  </x:si>
  <x:si>
    <x:t xml:space="preserve">7.36 (kg)</x:t>
  </x:si>
  <x:si>
    <x:t xml:space="preserve">89.0</x:t>
  </x:si>
  <x:si>
    <x:t xml:space="preserve">368Ç92SD674InA1188IA141S</x:t>
  </x:si>
  <x:si>
    <x:t xml:space="preserve">368 (kg)</x:t>
  </x:si>
  <x:si>
    <x:t xml:space="preserve">92 (kg)</x:t>
  </x:si>
  <x:si>
    <x:t xml:space="preserve">674 (kg)</x:t>
  </x:si>
  <x:si>
    <x:t xml:space="preserve">1188 (kg)</x:t>
  </x:si>
  <x:si>
    <x:t xml:space="preserve">11.04(kg)</x:t>
  </x:si>
  <x:si>
    <x:t xml:space="preserve">86.0</x:t>
  </x:si>
  <x:si>
    <x:t xml:space="preserve">400Ç744InA1196IA141S</x:t>
  </x:si>
  <x:si>
    <x:t xml:space="preserve">744 (kg)</x:t>
  </x:si>
  <x:si>
    <x:t xml:space="preserve">1196 (kg)</x:t>
  </x:si>
  <x:si>
    <x:t xml:space="preserve">5.60 (kg)</x:t>
  </x:si>
  <x:si>
    <x:t xml:space="preserve">360Ç40SD734InA1195IA141S</x:t>
  </x:si>
  <x:si>
    <x:t xml:space="preserve">360 (kg)</x:t>
  </x:si>
  <x:si>
    <x:t xml:space="preserve">40 (kg)</x:t>
  </x:si>
  <x:si>
    <x:t xml:space="preserve">734 (kg)</x:t>
  </x:si>
  <x:si>
    <x:t xml:space="preserve">1195 (kg)</x:t>
  </x:si>
  <x:si>
    <x:t xml:space="preserve">4.00 (kg)</x:t>
  </x:si>
  <x:si>
    <x:t xml:space="preserve">80.0</x:t>
  </x:si>
  <x:si>
    <x:t xml:space="preserve">320Ç80SD730InA1176IA141S</x:t>
  </x:si>
  <x:si>
    <x:t xml:space="preserve">320 (kg)</x:t>
  </x:si>
  <x:si>
    <x:t xml:space="preserve">80 (kg)</x:t>
  </x:si>
  <x:si>
    <x:t xml:space="preserve">730 (kg)</x:t>
  </x:si>
  <x:si>
    <x:t xml:space="preserve">1176 (kg)</x:t>
  </x:si>
  <x:si>
    <x:t xml:space="preserve">6.40 (kg)</x:t>
  </x:si>
  <x:si>
    <x:t xml:space="preserve">76.0</x:t>
  </x:si>
  <x:si>
    <x:t xml:space="preserve">514Ç456.9InA1391.6IA185.6S</x:t>
  </x:si>
  <x:si>
    <x:t xml:space="preserve">514 (kg)</x:t>
  </x:si>
  <x:si>
    <x:t xml:space="preserve">456.9 (kg)</x:t>
  </x:si>
  <x:si>
    <x:t xml:space="preserve">1391.6 (kg)</x:t>
  </x:si>
  <x:si>
    <x:t xml:space="preserve">185.6  (kg)</x:t>
  </x:si>
  <x:si>
    <x:t xml:space="preserve">3.34 (kg)</x:t>
  </x:si>
  <x:si>
    <x:t xml:space="preserve">38.30</x:t>
  </x:si>
  <x:si>
    <x:t xml:space="preserve">Amudhavalli ve Mathew (2012)</x:t>
  </x:si>
  <x:si>
    <x:t xml:space="preserve">https://www.sciencedirect.com/science/article/pii/S0008884698000106?casa_token=j_xQUzlMLL0AAAAA:zQW1oSzhya2_199tqRCgXT7LDwxMjH-JagHEgwDRIRA2rDSVRhqhn2_09JRhy69GQ9Kfvxu0QJk</x:t>
  </x:si>
  <x:si>
    <x:t xml:space="preserve">488.3Ç25.7SD456.9InA1391.6IA185.6S</x:t>
  </x:si>
  <x:si>
    <x:t xml:space="preserve">488.3 (kg)</x:t>
  </x:si>
  <x:si>
    <x:t xml:space="preserve">25.7 (kg)</x:t>
  </x:si>
  <x:si>
    <x:t xml:space="preserve">41.29</x:t>
  </x:si>
  <x:si>
    <x:t xml:space="preserve">462.6Ç51.4SD456.9InA1391.6IA185.6S</x:t>
  </x:si>
  <x:si>
    <x:t xml:space="preserve">462.6 (kg)</x:t>
  </x:si>
  <x:si>
    <x:t xml:space="preserve">51.4 (kg)</x:t>
  </x:si>
  <x:si>
    <x:t xml:space="preserve">46.76</x:t>
  </x:si>
  <x:si>
    <x:t xml:space="preserve">436.9Ç77.1SD456.9InA1391.6IA185.6S</x:t>
  </x:si>
  <x:si>
    <x:t xml:space="preserve">436.9 (kg)</x:t>
  </x:si>
  <x:si>
    <x:t xml:space="preserve">77.1 (kg)</x:t>
  </x:si>
  <x:si>
    <x:t xml:space="preserve">47.30</x:t>
  </x:si>
  <x:si>
    <x:t xml:space="preserve">411.2Ç102.8SD456.9InA1391.6IA185.6S</x:t>
  </x:si>
  <x:si>
    <x:t xml:space="preserve">411.2 (kg)</x:t>
  </x:si>
  <x:si>
    <x:t xml:space="preserve">102.8 (kg)</x:t>
  </x:si>
  <x:si>
    <x:t xml:space="preserve">44.27</x:t>
  </x:si>
  <x:si>
    <x:t xml:space="preserve">400Ç660.2InA1180IA173S</x:t>
  </x:si>
  <x:si>
    <x:t xml:space="preserve">400 kg</x:t>
  </x:si>
  <x:si>
    <x:t xml:space="preserve">660.22 (kg)</x:t>
  </x:si>
  <x:si>
    <x:t xml:space="preserve">1180 kg</x:t>
  </x:si>
  <x:si>
    <x:t xml:space="preserve">173 kg</x:t>
  </x:si>
  <x:si>
    <x:t xml:space="preserve">39.57</x:t>
  </x:si>
  <x:si>
    <x:t xml:space="preserve">Jindal ve Ransinchung (2018)</x:t>
  </x:si>
  <x:si>
    <x:t xml:space="preserve">https://www.sciencedirect.com/science/article/pii/S1996681416301213</x:t>
  </x:si>
  <x:si>
    <x:t xml:space="preserve">400Ç660.2InA826IA354RCA167S</x:t>
  </x:si>
  <x:si>
    <x:t xml:space="preserve">826 kg</x:t>
  </x:si>
  <x:si>
    <x:t xml:space="preserve">354 kg</x:t>
  </x:si>
  <x:si>
    <x:t xml:space="preserve">167 kg</x:t>
  </x:si>
  <x:si>
    <x:t xml:space="preserve">35.59</x:t>
  </x:si>
  <x:si>
    <x:t xml:space="preserve">400Ç20UK660.2InA826IA354RCA167S</x:t>
  </x:si>
  <x:si>
    <x:t xml:space="preserve">20 kg</x:t>
  </x:si>
  <x:si>
    <x:t xml:space="preserve">2.0 (kg)</x:t>
  </x:si>
  <x:si>
    <x:t xml:space="preserve">25.54</x:t>
  </x:si>
  <x:si>
    <x:t xml:space="preserve">400Ç40UK660.2InA826IA354RCA167S</x:t>
  </x:si>
  <x:si>
    <x:t xml:space="preserve">40 kg</x:t>
  </x:si>
  <x:si>
    <x:t xml:space="preserve">20.38</x:t>
  </x:si>
  <x:si>
    <x:t xml:space="preserve">400Ç60UK660.2InA826IA354RCA167S</x:t>
  </x:si>
  <x:si>
    <x:t xml:space="preserve">60 kg</x:t>
  </x:si>
  <x:si>
    <x:t xml:space="preserve">2.0  (kg)</x:t>
  </x:si>
  <x:si>
    <x:t xml:space="preserve">27.46</x:t>
  </x:si>
  <x:si>
    <x:t xml:space="preserve">455Ç693InA1179IA186S</x:t>
  </x:si>
  <x:si>
    <x:t xml:space="preserve">455 kg</x:t>
  </x:si>
  <x:si>
    <x:t xml:space="preserve">693 kg</x:t>
  </x:si>
  <x:si>
    <x:t xml:space="preserve">1179 kg</x:t>
  </x:si>
  <x:si>
    <x:t xml:space="preserve">186 (kg)</x:t>
  </x:si>
  <x:si>
    <x:t xml:space="preserve">43.0</x:t>
  </x:si>
  <x:si>
    <x:t xml:space="preserve">Kagadgar vd. (2017)</x:t>
  </x:si>
  <x:si>
    <x:t xml:space="preserve">https://sciendo.com/2/v2/download/article/10.1515/sspjce-2017-0001.pdf</x:t>
  </x:si>
  <x:si>
    <x:t xml:space="preserve">368Ç68UK19YFC670InA1140IA186S</x:t>
  </x:si>
  <x:si>
    <x:t xml:space="preserve">368 kg</x:t>
  </x:si>
  <x:si>
    <x:t xml:space="preserve">68 kg</x:t>
  </x:si>
  <x:si>
    <x:t xml:space="preserve">19 kg</x:t>
  </x:si>
  <x:si>
    <x:t xml:space="preserve">670 kg</x:t>
  </x:si>
  <x:si>
    <x:t xml:space="preserve">1140 kg</x:t>
  </x:si>
  <x:si>
    <x:t xml:space="preserve">51.0</x:t>
  </x:si>
  <x:si>
    <x:t xml:space="preserve">303Ç136UK16YFC660InA1124IA186S</x:t>
  </x:si>
  <x:si>
    <x:t xml:space="preserve">303 kg</x:t>
  </x:si>
  <x:si>
    <x:t xml:space="preserve">136 kg</x:t>
  </x:si>
  <x:si>
    <x:t xml:space="preserve">16 kg</x:t>
  </x:si>
  <x:si>
    <x:t xml:space="preserve">660 kg</x:t>
  </x:si>
  <x:si>
    <x:t xml:space="preserve">1124 kg</x:t>
  </x:si>
  <x:si>
    <x:t xml:space="preserve">216Ç228UK11YFC648InA1103IA186S</x:t>
  </x:si>
  <x:si>
    <x:t xml:space="preserve">216 kg</x:t>
  </x:si>
  <x:si>
    <x:t xml:space="preserve">228 kg</x:t>
  </x:si>
  <x:si>
    <x:t xml:space="preserve">11 kg</x:t>
  </x:si>
  <x:si>
    <x:t xml:space="preserve">648 kg</x:t>
  </x:si>
  <x:si>
    <x:t xml:space="preserve">1103 kg</x:t>
  </x:si>
  <x:si>
    <x:t xml:space="preserve">35.0</x:t>
  </x:si>
  <x:si>
    <x:t xml:space="preserve">173Ç272UK9YFC641InA1092IA186S</x:t>
  </x:si>
  <x:si>
    <x:t xml:space="preserve">272 kg</x:t>
  </x:si>
  <x:si>
    <x:t xml:space="preserve">641 kg</x:t>
  </x:si>
  <x:si>
    <x:t xml:space="preserve">1092 kg</x:t>
  </x:si>
  <x:si>
    <x:t xml:space="preserve">27.0</x:t>
  </x:si>
  <x:si>
    <x:t xml:space="preserve">400Ç1000InA710IA212S</x:t>
  </x:si>
  <x:si>
    <x:t xml:space="preserve">212 kg</x:t>
  </x:si>
  <x:si>
    <x:t xml:space="preserve">4.8 kg</x:t>
  </x:si>
  <x:si>
    <x:t xml:space="preserve">32.0 MPa</x:t>
  </x:si>
  <x:si>
    <x:t xml:space="preserve">Demirel ve Şimşek (2014)</x:t>
  </x:si>
  <x:si>
    <x:t xml:space="preserve">https://dergipark.org.tr/tr/pub/sujest/article/247889</x:t>
  </x:si>
  <x:si>
    <x:t xml:space="preserve">320Ç80UK1000InA710IA212S</x:t>
  </x:si>
  <x:si>
    <x:t xml:space="preserve">28.0 MPa</x:t>
  </x:si>
  <x:si>
    <x:t xml:space="preserve">320Ç80UK900InA639IA171RCA212S</x:t>
  </x:si>
  <x:si>
    <x:t xml:space="preserve">320Ç80UK800InA568IA342RCA212S</x:t>
  </x:si>
  <x:si>
    <x:t xml:space="preserve">26.0 MPa</x:t>
  </x:si>
  <x:si>
    <x:t xml:space="preserve">320Ç80UK700InA497IA513RCA212S</x:t>
  </x:si>
  <x:si>
    <x:t xml:space="preserve">30.0 MPa</x:t>
  </x:si>
  <x:si>
    <x:t xml:space="preserve">320Ç80UK600InA426IA684RCA212S</x:t>
  </x:si>
  <x:si>
    <x:t xml:space="preserve">320Ç80UK500InA355IA855RCA212S</x:t>
  </x:si>
  <x:si>
    <x:t xml:space="preserve">25.0 MPa</x:t>
  </x:si>
  <x:si>
    <x:t xml:space="preserve">320Ç80UK1710RCA212S</x:t>
  </x:si>
  <x:si>
    <x:t xml:space="preserve">297.5Ç52.5UK893.4InA859.9IA185.5S</x:t>
  </x:si>
  <x:si>
    <x:t xml:space="preserve">297.5 kg</x:t>
  </x:si>
  <x:si>
    <x:t xml:space="preserve">52.5 kg</x:t>
  </x:si>
  <x:si>
    <x:t xml:space="preserve">893.4 kg</x:t>
  </x:si>
  <x:si>
    <x:t xml:space="preserve">859.9 kg</x:t>
  </x:si>
  <x:si>
    <x:t xml:space="preserve">185.5 kg</x:t>
  </x:si>
  <x:si>
    <x:t xml:space="preserve">5.3 kg</x:t>
  </x:si>
  <x:si>
    <x:t xml:space="preserve">0.2 kg</x:t>
  </x:si>
  <x:si>
    <x:t xml:space="preserve">18.67</x:t>
  </x:si>
  <x:si>
    <x:t xml:space="preserve">Tosun (2014)</x:t>
  </x:si>
  <x:si>
    <x:t xml:space="preserve">https://tez.yok.gov.tr/UlusalTezMerkezi/tezDetay.jsp?id=LWiOpHMC88YDD3BPYvRz_w&amp;no=yc4K241HqfFA--hoHnsl8g</x:t>
  </x:si>
  <x:si>
    <x:t xml:space="preserve">297.5Ç52.5UK893.4InA730.9IA110.6RCA185.5S</x:t>
  </x:si>
  <x:si>
    <x:t xml:space="preserve">730.9 kg</x:t>
  </x:si>
  <x:si>
    <x:t xml:space="preserve">110.6 kg</x:t>
  </x:si>
  <x:si>
    <x:t xml:space="preserve">22.67</x:t>
  </x:si>
  <x:si>
    <x:t xml:space="preserve">297.5Ç52.5UK893.4InA601.9IA221RCA185.5S</x:t>
  </x:si>
  <x:si>
    <x:t xml:space="preserve">601.9 kg</x:t>
  </x:si>
  <x:si>
    <x:t xml:space="preserve">221.0 kg</x:t>
  </x:si>
  <x:si>
    <x:t xml:space="preserve">17.78</x:t>
  </x:si>
  <x:si>
    <x:t xml:space="preserve">297.5Ç52.5UK893.4InA473IA331.6RCA185.5S</x:t>
  </x:si>
  <x:si>
    <x:t xml:space="preserve">473.0 kg</x:t>
  </x:si>
  <x:si>
    <x:t xml:space="preserve">331.6 kg</x:t>
  </x:si>
  <x:si>
    <x:t xml:space="preserve">24.00</x:t>
  </x:si>
  <x:si>
    <x:t xml:space="preserve">297.5Ç52.5UK893.4InA344IA505.1RCA185.5S</x:t>
  </x:si>
  <x:si>
    <x:t xml:space="preserve">344.0 kg</x:t>
  </x:si>
  <x:si>
    <x:t xml:space="preserve">505.1 kg</x:t>
  </x:si>
  <x:si>
    <x:t xml:space="preserve">16.44</x:t>
  </x:si>
  <x:si>
    <x:t xml:space="preserve">200Ç200YFC814InA986IA168S</x:t>
  </x:si>
  <x:si>
    <x:t xml:space="preserve">814 kg</x:t>
  </x:si>
  <x:si>
    <x:t xml:space="preserve">986 kg</x:t>
  </x:si>
  <x:si>
    <x:t xml:space="preserve">168 kg</x:t>
  </x:si>
  <x:si>
    <x:t xml:space="preserve">5.0 kg</x:t>
  </x:si>
  <x:si>
    <x:t xml:space="preserve">58.8</x:t>
  </x:si>
  <x:si>
    <x:t xml:space="preserve">Ramyar vd. (2022)</x:t>
  </x:si>
  <x:si>
    <x:t xml:space="preserve">https://dergipark.org.tr/tr/pub/bjesr/article/1050236</x:t>
  </x:si>
  <x:si>
    <x:t xml:space="preserve">190Ç190YFC835InA970IA165S</x:t>
  </x:si>
  <x:si>
    <x:t xml:space="preserve">190 kg</x:t>
  </x:si>
  <x:si>
    <x:t xml:space="preserve">835 kg</x:t>
  </x:si>
  <x:si>
    <x:t xml:space="preserve">970 kg</x:t>
  </x:si>
  <x:si>
    <x:t xml:space="preserve">165 kg</x:t>
  </x:si>
  <x:si>
    <x:t xml:space="preserve">5.8 kg</x:t>
  </x:si>
  <x:si>
    <x:t xml:space="preserve">53.4</x:t>
  </x:si>
  <x:si>
    <x:t xml:space="preserve">180Ç180YFC869InA987IA160S</x:t>
  </x:si>
  <x:si>
    <x:t xml:space="preserve">869 kg</x:t>
  </x:si>
  <x:si>
    <x:t xml:space="preserve">987 kg</x:t>
  </x:si>
  <x:si>
    <x:t xml:space="preserve">160 kg</x:t>
  </x:si>
  <x:si>
    <x:t xml:space="preserve">6.3 kg</x:t>
  </x:si>
  <x:si>
    <x:t xml:space="preserve">44.0</x:t>
  </x:si>
  <x:si>
    <x:t xml:space="preserve">160Ç160YFC970InA921IA155S</x:t>
  </x:si>
  <x:si>
    <x:t xml:space="preserve">921 kg</x:t>
  </x:si>
  <x:si>
    <x:t xml:space="preserve">155 kg</x:t>
  </x:si>
  <x:si>
    <x:t xml:space="preserve">6.2 kg</x:t>
  </x:si>
  <x:si>
    <x:t xml:space="preserve">42.1</x:t>
  </x:si>
  <x:si>
    <x:t xml:space="preserve">160Ç140YFC1020InA910IA155S</x:t>
  </x:si>
  <x:si>
    <x:t xml:space="preserve">140 kg</x:t>
  </x:si>
  <x:si>
    <x:t xml:space="preserve">1020 kg</x:t>
  </x:si>
  <x:si>
    <x:t xml:space="preserve">910 kg</x:t>
  </x:si>
  <x:si>
    <x:t xml:space="preserve">6.0 kg</x:t>
  </x:si>
  <x:si>
    <x:t xml:space="preserve">32.6</x:t>
  </x:si>
  <x:si>
    <x:t xml:space="preserve">360Ç868InA982IA163S</x:t>
  </x:si>
  <x:si>
    <x:t xml:space="preserve">360 kg</x:t>
  </x:si>
  <x:si>
    <x:t xml:space="preserve">868 kg</x:t>
  </x:si>
  <x:si>
    <x:t xml:space="preserve">982 kg</x:t>
  </x:si>
  <x:si>
    <x:t xml:space="preserve">163 kg</x:t>
  </x:si>
  <x:si>
    <x:t xml:space="preserve">46.9</x:t>
  </x:si>
</x:sst>
</file>

<file path=xl/styles.xml><?xml version="1.0" encoding="utf-8"?>
<x:styleSheet xmlns:x="http://schemas.openxmlformats.org/spreadsheetml/2006/main">
  <x:numFmts count="4">
    <x:numFmt numFmtId="164" formatCode="d.m"/>
    <x:numFmt numFmtId="200" formatCode="0"/>
    <x:numFmt numFmtId="201" formatCode="0.0"/>
    <x:numFmt numFmtId="202" formatCode="0.0%"/>
  </x:numFmts>
  <x:fonts count="13">
    <x:font>
      <x:sz val="10"/>
      <x:color rgb="FF000000"/>
      <x:name val="Arial"/>
    </x:font>
    <x:font>
      <x:sz val="9"/>
      <x:color theme="1"/>
      <x:name val="Arial"/>
    </x:font>
    <x:font>
      <x:color theme="1"/>
      <x:name val="Arial"/>
    </x:font>
    <x:font>
      <x:color rgb="FF0000FF"/>
    </x:font>
    <x:font>
      <x:color rgb="FF0000FF"/>
    </x:font>
    <x:font>
      <x:sz val="11"/>
      <x:color theme="1"/>
      <x:name val="Arial"/>
    </x:font>
    <x:font>
      <x:color theme="1"/>
      <x:name val="Arial"/>
    </x:font>
    <x:font>
      <x:color rgb="FF0000FF"/>
    </x:font>
    <x:font>
      <x:sz val="10"/>
      <x:color rgb="FF23433B"/>
      <x:name val="Arial"/>
    </x:font>
    <x:font>
      <x:b/>
      <x:sz val="10"/>
      <x:color rgb="FF23433B"/>
      <x:name val="Arial"/>
    </x:font>
    <x:font>
      <x:i/>
      <x:sz val="10"/>
      <x:color rgb="FF5F7770"/>
      <x:name val="Arial"/>
    </x:font>
    <x:font>
      <x:b/>
      <x:sz val="10"/>
      <x:color rgb="FF5F7770"/>
      <x:name val="Arial"/>
    </x:font>
    <x:font>
      <x:sz val="10"/>
      <x:color rgb="FF1D5FA7"/>
      <x:name val="Arial"/>
    </x:font>
  </x:fonts>
  <x:fills count="19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EAF5F0"/>
      </x:patternFill>
    </x:fill>
    <x:fill>
      <x:patternFill patternType="solid">
        <x:fgColor rgb="FFF5FAF8"/>
      </x:patternFill>
    </x:fill>
    <x:fill>
      <x:patternFill patternType="solid">
        <x:fgColor rgb="FFF7FBF9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FFF8E1"/>
      </x:patternFill>
    </x:fill>
    <x:fill>
      <x:patternFill patternType="solid">
        <x:fgColor rgb="FFDDEFE8"/>
      </x:patternFill>
    </x:fill>
    <x:fill>
      <x:patternFill patternType="solid">
        <x:fgColor rgb="FFEEF7F3"/>
      </x:patternFill>
    </x:fill>
    <x:fill>
      <x:patternFill patternType="solid">
        <x:fgColor rgb="FFEAF5F0"/>
      </x:patternFill>
    </x:fill>
    <x:fill>
      <x:patternFill patternType="solid">
        <x:fgColor rgb="FFF5FAF8"/>
      </x:patternFill>
    </x:fill>
    <x:fill>
      <x:patternFill patternType="solid">
        <x:fgColor rgb="FFDDEFE8"/>
      </x:patternFill>
    </x:fill>
    <x:fill>
      <x:patternFill patternType="solid">
        <x:fgColor rgb="FFEEF7F3"/>
      </x:patternFill>
    </x:fill>
    <x:fill>
      <x:patternFill patternType="solid">
        <x:fgColor rgb="FFFFFFFF"/>
      </x:patternFill>
    </x:fill>
    <x:fill>
      <x:patternFill patternType="solid">
        <x:fgColor rgb="FFFFF8E1"/>
      </x:patternFill>
    </x:fill>
    <x:fill>
      <x:patternFill patternType="solid">
        <x:fgColor rgb="FFEEF5FB"/>
      </x:patternFill>
    </x:fill>
    <x:fill>
      <x:patternFill patternType="solid">
        <x:fgColor rgb="FFF7FBF9"/>
      </x:patternFill>
    </x:fill>
  </x:fills>
  <x:borders count="20">
    <x:border/>
    <x:border>
      <x:left style="thin">
        <x:color rgb="FFB7D8CC"/>
      </x:left>
      <x:top style="thin">
        <x:color rgb="FFB7D8CC"/>
      </x:top>
      <x:bottom style="thin">
        <x:color rgb="FFB7D8CC"/>
      </x:bottom>
    </x:border>
    <x:border>
      <x:top style="thin">
        <x:color rgb="FFB7D8CC"/>
      </x:top>
      <x:bottom style="thin">
        <x:color rgb="FFB7D8CC"/>
      </x:bottom>
    </x:border>
    <x:border>
      <x:right style="thin">
        <x:color rgb="FFB7D8CC"/>
      </x:right>
      <x:top style="thin">
        <x:color rgb="FFB7D8CC"/>
      </x:top>
      <x:bottom style="thin">
        <x:color rgb="FFB7D8CC"/>
      </x:bottom>
    </x:border>
    <x:border>
      <x:left style="thin">
        <x:color rgb="FFB7D8CC"/>
      </x:left>
      <x:top style="thin">
        <x:color rgb="FFB7D8CC"/>
      </x:top>
    </x:border>
    <x:border>
      <x:right style="thin">
        <x:color rgb="FFB7D8CC"/>
      </x:right>
      <x:top style="thin">
        <x:color rgb="FFB7D8CC"/>
      </x:top>
    </x:border>
    <x:border>
      <x:left style="thin">
        <x:color rgb="FFB7D8CC"/>
      </x:left>
      <x:bottom style="thin">
        <x:color rgb="FFB7D8CC"/>
      </x:bottom>
    </x:border>
    <x:border>
      <x:right style="thin">
        <x:color rgb="FFB7D8CC"/>
      </x:right>
      <x:bottom style="thin">
        <x:color rgb="FFB7D8CC"/>
      </x:bottom>
    </x:border>
    <x:border>
      <x:left style="thin">
        <x:color rgb="FFE6D7A8"/>
      </x:left>
      <x:top style="thin">
        <x:color rgb="FFE6D7A8"/>
      </x:top>
      <x:bottom style="thin">
        <x:color rgb="FFE6D7A8"/>
      </x:bottom>
    </x:border>
    <x:border>
      <x:top style="thin">
        <x:color rgb="FFE6D7A8"/>
      </x:top>
      <x:bottom style="thin">
        <x:color rgb="FFE6D7A8"/>
      </x:bottom>
    </x:border>
    <x:border>
      <x:right style="thin">
        <x:color rgb="FFE6D7A8"/>
      </x:right>
      <x:top style="thin">
        <x:color rgb="FFE6D7A8"/>
      </x:top>
      <x:bottom style="thin">
        <x:color rgb="FFE6D7A8"/>
      </x:bottom>
    </x:border>
    <x:border>
      <x:bottom style="thin">
        <x:color rgb="FFDCEBE5"/>
      </x:bottom>
    </x:border>
    <x:border>
      <x:top style="thin">
        <x:color rgb="FFDCEBE5"/>
      </x:top>
      <x:bottom style="thin">
        <x:color rgb="FFDCEBE5"/>
      </x:bottom>
    </x:border>
    <x:border>
      <x:top style="thin">
        <x:color rgb="FFDCEBE5"/>
      </x:top>
    </x:border>
    <x:border>
      <x:left style="thin">
        <x:color rgb="FFE6D7A8"/>
      </x:left>
      <x:right style="thin">
        <x:color rgb="FFE6D7A8"/>
      </x:right>
      <x:top style="thin">
        <x:color rgb="FFE6D7A8"/>
      </x:top>
      <x:bottom style="thin">
        <x:color rgb="FFDCEBE5"/>
      </x:bottom>
    </x:border>
    <x:border>
      <x:left style="thin">
        <x:color rgb="FFE6D7A8"/>
      </x:left>
      <x:right style="thin">
        <x:color rgb="FFE6D7A8"/>
      </x:right>
      <x:top style="thin">
        <x:color rgb="FFDCEBE5"/>
      </x:top>
      <x:bottom style="thin">
        <x:color rgb="FFDCEBE5"/>
      </x:bottom>
    </x:border>
    <x:border>
      <x:left style="thin">
        <x:color rgb="FFE6D7A8"/>
      </x:left>
      <x:right style="thin">
        <x:color rgb="FFE6D7A8"/>
      </x:right>
      <x:top style="thin">
        <x:color rgb="FFDCEBE5"/>
      </x:top>
      <x:bottom style="thin">
        <x:color rgb="FFE6D7A8"/>
      </x:bottom>
    </x:border>
    <x:border>
      <x:top style="thin">
        <x:color rgb="FFB7D8CC"/>
      </x:top>
    </x:border>
    <x:border>
      <x:bottom style="thin">
        <x:color rgb="FFB7D8CC"/>
      </x:bottom>
    </x:border>
    <x:border>
      <x:left style="thin">
        <x:color rgb="FFB7D8CC"/>
      </x:left>
      <x:right style="thin">
        <x:color rgb="FFB7D8CC"/>
      </x:right>
      <x:top style="thin">
        <x:color rgb="FFB7D8CC"/>
      </x:top>
      <x:bottom style="thin">
        <x:color rgb="FFB7D8CC"/>
      </x:bottom>
    </x:border>
  </x:borders>
  <x:cellStyleXfs count="1">
    <x:xf numFmtId="0" fontId="0" fillId="0" borderId="0" applyFont="1" applyAlignment="1"/>
  </x:cellStyleXfs>
  <x:cellXfs count="289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  <x:xf numFmtId="0" fontId="2" fillId="0" borderId="0" xfId="0" applyFont="1" applyAlignment="1">
      <x:alignment horizontal="left"/>
    </x:xf>
    <x:xf numFmtId="0" fontId="3" fillId="0" borderId="0" xfId="0" applyFont="1" applyAlignment="1"/>
    <x:xf numFmtId="0" fontId="4" fillId="0" borderId="0" xfId="0" applyFont="1" applyAlignment="1"/>
    <x:xf numFmtId="0" fontId="2" fillId="2" borderId="0" xfId="0" applyFont="1" applyFill="1" applyAlignment="1"/>
    <x:xf numFmtId="0" fontId="5" fillId="0" borderId="0" xfId="0" applyFont="1" applyAlignment="1"/>
    <x:xf numFmtId="164" fontId="2" fillId="0" borderId="0" xfId="0" applyNumberFormat="1" applyFont="1" applyAlignment="1">
      <x:alignment horizontal="left"/>
    </x:xf>
    <x:xf numFmtId="0" fontId="2" fillId="2" borderId="0" xfId="0" applyFont="1" applyAlignment="1">
      <x:alignment horizontal="left"/>
    </x:xf>
    <x:xf numFmtId="0" fontId="2" fillId="0" borderId="0" xfId="0" applyFont="1" applyAlignment="1"/>
    <x:xf numFmtId="0" fontId="6" fillId="0" borderId="0" xfId="0" applyFont="1" applyAlignment="1">
      <x:alignment vertical="bottom"/>
    </x:xf>
    <x:xf numFmtId="9" fontId="2" fillId="0" borderId="0" xfId="0" applyNumberFormat="1" applyFont="1" applyAlignment="1">
      <x:alignment horizontal="left"/>
    </x:xf>
    <x:xf numFmtId="0" fontId="7" fillId="0" borderId="0" xfId="0" applyFont="1" applyAlignment="1">
      <x:alignment horizontal="left"/>
    </x:xf>
    <x:xf numFmtId="9" fontId="2" fillId="0" borderId="0" xfId="0" applyNumberFormat="1" applyFont="1" applyAlignment="1"/>
    <x:xf numFmtId="0" fontId="8" fillId="0" borderId="0" xfId="0" applyNumberFormat="1" applyFont="1" applyFill="1" applyBorder="1" applyAlignment="1">
      <x:alignment vertical="bottom" wrapText="0"/>
    </x:xf>
    <x:xf numFmtId="0" fontId="8" fillId="0" borderId="0" xfId="0" applyNumberFormat="1" applyFont="1" applyFill="1" applyBorder="1" applyAlignment="1">
      <x:alignment vertical="center" wrapText="0"/>
    </x:xf>
    <x:xf numFmtId="0" fontId="8" fillId="3" borderId="0" xfId="0" applyNumberFormat="1" applyFont="1" applyFill="1" applyBorder="1" applyAlignment="1">
      <x:alignment vertical="center" wrapText="0"/>
    </x:xf>
    <x:xf numFmtId="0" fontId="9" fillId="3" borderId="0" xfId="0" applyNumberFormat="1" applyFont="1" applyFill="1" applyBorder="1" applyAlignment="1">
      <x:alignment vertical="center" wrapText="0"/>
    </x:xf>
    <x:xf numFmtId="0" fontId="9" fillId="3" borderId="1" xfId="0" applyNumberFormat="1" applyFont="1" applyFill="1" applyBorder="1" applyAlignment="1">
      <x:alignment vertical="center" wrapText="0"/>
    </x:xf>
    <x:xf numFmtId="0" fontId="9" fillId="3" borderId="2" xfId="0" applyNumberFormat="1" applyFont="1" applyFill="1" applyBorder="1" applyAlignment="1">
      <x:alignment vertical="center" wrapText="0"/>
    </x:xf>
    <x:xf numFmtId="0" fontId="9" fillId="3" borderId="3" xfId="0" applyNumberFormat="1" applyFont="1" applyFill="1" applyBorder="1" applyAlignment="1">
      <x:alignment vertical="center" wrapText="0"/>
    </x:xf>
    <x:xf numFmtId="0" fontId="9" fillId="3" borderId="1" xfId="0" applyNumberFormat="1" applyFont="1" applyFill="1" applyBorder="1" applyAlignment="1">
      <x:alignment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0" fontId="9" fillId="3" borderId="3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horizontal="left" vertical="center" wrapText="1"/>
    </x:xf>
    <x:xf numFmtId="0" fontId="9" fillId="3" borderId="2" xfId="0" applyNumberFormat="1" applyFont="1" applyFill="1" applyBorder="1" applyAlignment="1">
      <x:alignment horizontal="left" vertical="center" wrapText="1"/>
    </x:xf>
    <x:xf numFmtId="0" fontId="9" fillId="3" borderId="3" xfId="0" applyNumberFormat="1" applyFont="1" applyFill="1" applyBorder="1" applyAlignment="1">
      <x:alignment horizontal="left" vertical="center" wrapText="1"/>
    </x:xf>
    <x:xf numFmtId="0" fontId="8" fillId="4" borderId="0" xfId="0" applyNumberFormat="1" applyFont="1" applyFill="1" applyBorder="1" applyAlignment="1">
      <x:alignment vertical="center" wrapText="0"/>
    </x:xf>
    <x:xf numFmtId="0" fontId="10" fillId="4" borderId="0" xfId="0" applyNumberFormat="1" applyFont="1" applyFill="1" applyBorder="1" applyAlignment="1">
      <x:alignment vertical="center" wrapText="0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vertical="center" wrapText="0"/>
    </x:xf>
    <x:xf numFmtId="0" fontId="11" fillId="5" borderId="0" xfId="0" applyNumberFormat="1" applyFont="1" applyFill="1" applyBorder="1" applyAlignment="1">
      <x:alignment vertical="center" wrapText="0"/>
    </x:xf>
    <x:xf numFmtId="0" fontId="11" fillId="5" borderId="1" xfId="0" applyNumberFormat="1" applyFont="1" applyFill="1" applyBorder="1" applyAlignment="1">
      <x:alignment vertical="center" wrapText="0"/>
    </x:xf>
    <x:xf numFmtId="0" fontId="11" fillId="5" borderId="3" xfId="0" applyNumberFormat="1" applyFont="1" applyFill="1" applyBorder="1" applyAlignment="1">
      <x:alignment vertical="center" wrapText="0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3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1" fillId="5" borderId="3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vertical="center" wrapText="0"/>
    </x:xf>
    <x:xf numFmtId="0" fontId="9" fillId="6" borderId="0" xfId="0" applyNumberFormat="1" applyFont="1" applyFill="1" applyBorder="1" applyAlignment="1">
      <x:alignment vertical="center" wrapText="0"/>
    </x:xf>
    <x:xf numFmtId="0" fontId="9" fillId="6" borderId="4" xfId="0" applyNumberFormat="1" applyFont="1" applyFill="1" applyBorder="1" applyAlignment="1">
      <x:alignment vertical="center" wrapText="0"/>
    </x:xf>
    <x:xf numFmtId="0" fontId="9" fillId="6" borderId="5" xfId="0" applyNumberFormat="1" applyFont="1" applyFill="1" applyBorder="1" applyAlignment="1">
      <x:alignment vertical="center" wrapText="0"/>
    </x:xf>
    <x:xf numFmtId="0" fontId="9" fillId="6" borderId="6" xfId="0" applyNumberFormat="1" applyFont="1" applyFill="1" applyBorder="1" applyAlignment="1">
      <x:alignment vertical="center" wrapText="0"/>
    </x:xf>
    <x:xf numFmtId="0" fontId="9" fillId="6" borderId="7" xfId="0" applyNumberFormat="1" applyFont="1" applyFill="1" applyBorder="1" applyAlignment="1">
      <x:alignment vertical="center" wrapText="0"/>
    </x:xf>
    <x:xf numFmtId="200" fontId="9" fillId="6" borderId="4" xfId="0" applyNumberFormat="1" applyFont="1" applyFill="1" applyBorder="1" applyAlignment="1">
      <x:alignment vertical="center" wrapText="0"/>
    </x:xf>
    <x:xf numFmtId="200" fontId="9" fillId="6" borderId="5" xfId="0" applyNumberFormat="1" applyFont="1" applyFill="1" applyBorder="1" applyAlignment="1">
      <x:alignment vertical="center" wrapText="0"/>
    </x:xf>
    <x:xf numFmtId="200" fontId="9" fillId="6" borderId="6" xfId="0" applyNumberFormat="1" applyFont="1" applyFill="1" applyBorder="1" applyAlignment="1">
      <x:alignment vertical="center" wrapText="0"/>
    </x:xf>
    <x:xf numFmtId="200" fontId="9" fillId="6" borderId="7" xfId="0" applyNumberFormat="1" applyFont="1" applyFill="1" applyBorder="1" applyAlignment="1">
      <x:alignment vertical="center" wrapText="0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0" fontId="9" fillId="6" borderId="6" xfId="0" applyNumberFormat="1" applyFont="1" applyFill="1" applyBorder="1" applyAlignment="1">
      <x:alignment vertical="center" wrapText="1"/>
    </x:xf>
    <x:xf numFmtId="200" fontId="9" fillId="6" borderId="7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horizontal="center" vertical="center" wrapText="1"/>
    </x:xf>
    <x:xf numFmtId="200" fontId="9" fillId="6" borderId="5" xfId="0" applyNumberFormat="1" applyFont="1" applyFill="1" applyBorder="1" applyAlignment="1">
      <x:alignment horizontal="center" vertical="center" wrapText="1"/>
    </x:xf>
    <x:xf numFmtId="200" fontId="9" fillId="6" borderId="6" xfId="0" applyNumberFormat="1" applyFont="1" applyFill="1" applyBorder="1" applyAlignment="1">
      <x:alignment horizontal="center" vertical="center" wrapText="1"/>
    </x:xf>
    <x:xf numFmtId="200" fontId="9" fillId="6" borderId="7" xfId="0" applyNumberFormat="1" applyFont="1" applyFill="1" applyBorder="1" applyAlignment="1">
      <x:alignment horizontal="center"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6" borderId="6" xfId="0" applyNumberFormat="1" applyFont="1" applyFill="1" applyBorder="1" applyAlignment="1">
      <x:alignment vertical="center" wrapText="1"/>
    </x:xf>
    <x:xf numFmtId="0" fontId="9" fillId="6" borderId="7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horizontal="center" vertical="center" wrapText="1"/>
    </x:xf>
    <x:xf numFmtId="0" fontId="9" fillId="6" borderId="5" xfId="0" applyNumberFormat="1" applyFont="1" applyFill="1" applyBorder="1" applyAlignment="1">
      <x:alignment horizontal="center" vertical="center" wrapText="1"/>
    </x:xf>
    <x:xf numFmtId="0" fontId="9" fillId="6" borderId="6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horizontal="center" vertical="center" wrapText="1"/>
    </x:xf>
    <x:xf numFmtId="201" fontId="9" fillId="6" borderId="4" xfId="0" applyNumberFormat="1" applyFont="1" applyFill="1" applyBorder="1" applyAlignment="1">
      <x:alignment vertical="center" wrapText="0"/>
    </x:xf>
    <x:xf numFmtId="201" fontId="9" fillId="6" borderId="5" xfId="0" applyNumberFormat="1" applyFont="1" applyFill="1" applyBorder="1" applyAlignment="1">
      <x:alignment vertical="center" wrapText="0"/>
    </x:xf>
    <x:xf numFmtId="201" fontId="9" fillId="6" borderId="6" xfId="0" applyNumberFormat="1" applyFont="1" applyFill="1" applyBorder="1" applyAlignment="1">
      <x:alignment vertical="center" wrapText="0"/>
    </x:xf>
    <x:xf numFmtId="201" fontId="9" fillId="6" borderId="7" xfId="0" applyNumberFormat="1" applyFont="1" applyFill="1" applyBorder="1" applyAlignment="1">
      <x:alignment vertical="center" wrapText="0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201" fontId="9" fillId="6" borderId="6" xfId="0" applyNumberFormat="1" applyFont="1" applyFill="1" applyBorder="1" applyAlignment="1">
      <x:alignment vertical="center" wrapText="1"/>
    </x:xf>
    <x:xf numFmtId="201" fontId="9" fillId="6" borderId="7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horizontal="center" vertical="center" wrapText="1"/>
    </x:xf>
    <x:xf numFmtId="201" fontId="9" fillId="6" borderId="5" xfId="0" applyNumberFormat="1" applyFont="1" applyFill="1" applyBorder="1" applyAlignment="1">
      <x:alignment horizontal="center" vertical="center" wrapText="1"/>
    </x:xf>
    <x:xf numFmtId="201" fontId="9" fillId="6" borderId="6" xfId="0" applyNumberFormat="1" applyFont="1" applyFill="1" applyBorder="1" applyAlignment="1">
      <x:alignment horizontal="center" vertical="center" wrapText="1"/>
    </x:xf>
    <x:xf numFmtId="201" fontId="9" fillId="6" borderId="7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center" wrapText="0"/>
    </x:xf>
    <x:xf numFmtId="0" fontId="9" fillId="7" borderId="0" xfId="0" applyNumberFormat="1" applyFont="1" applyFill="1" applyBorder="1" applyAlignment="1">
      <x:alignment vertical="center" wrapText="0"/>
    </x:xf>
    <x:xf numFmtId="0" fontId="9" fillId="7" borderId="4" xfId="0" applyNumberFormat="1" applyFont="1" applyFill="1" applyBorder="1" applyAlignment="1">
      <x:alignment vertical="center" wrapText="0"/>
    </x:xf>
    <x:xf numFmtId="0" fontId="9" fillId="7" borderId="5" xfId="0" applyNumberFormat="1" applyFont="1" applyFill="1" applyBorder="1" applyAlignment="1">
      <x:alignment vertical="center" wrapText="0"/>
    </x:xf>
    <x:xf numFmtId="0" fontId="9" fillId="7" borderId="6" xfId="0" applyNumberFormat="1" applyFont="1" applyFill="1" applyBorder="1" applyAlignment="1">
      <x:alignment vertical="center" wrapText="0"/>
    </x:xf>
    <x:xf numFmtId="0" fontId="9" fillId="7" borderId="7" xfId="0" applyNumberFormat="1" applyFont="1" applyFill="1" applyBorder="1" applyAlignment="1">
      <x:alignment vertical="center" wrapText="0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horizontal="center" vertical="center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vertical="center" wrapText="0"/>
    </x:xf>
    <x:xf numFmtId="0" fontId="10" fillId="8" borderId="0" xfId="0" applyNumberFormat="1" applyFont="1" applyFill="1" applyBorder="1" applyAlignment="1">
      <x:alignment vertical="center" wrapText="0"/>
    </x:xf>
    <x:xf numFmtId="0" fontId="10" fillId="8" borderId="8" xfId="0" applyNumberFormat="1" applyFont="1" applyFill="1" applyBorder="1" applyAlignment="1">
      <x:alignment vertical="center" wrapText="0"/>
    </x:xf>
    <x:xf numFmtId="0" fontId="10" fillId="8" borderId="9" xfId="0" applyNumberFormat="1" applyFont="1" applyFill="1" applyBorder="1" applyAlignment="1">
      <x:alignment vertical="center" wrapText="0"/>
    </x:xf>
    <x:xf numFmtId="0" fontId="10" fillId="8" borderId="10" xfId="0" applyNumberFormat="1" applyFont="1" applyFill="1" applyBorder="1" applyAlignment="1">
      <x:alignment vertical="center" wrapText="0"/>
    </x:xf>
    <x:xf numFmtId="0" fontId="10" fillId="8" borderId="8" xfId="0" applyNumberFormat="1" applyFont="1" applyFill="1" applyBorder="1" applyAlignment="1">
      <x:alignment vertical="center" wrapText="1"/>
    </x:xf>
    <x:xf numFmtId="0" fontId="10" fillId="8" borderId="9" xfId="0" applyNumberFormat="1" applyFont="1" applyFill="1" applyBorder="1" applyAlignment="1">
      <x:alignment vertical="center" wrapText="1"/>
    </x:xf>
    <x:xf numFmtId="0" fontId="10" fillId="8" borderId="1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0"/>
    </x:xf>
    <x:xf numFmtId="0" fontId="9" fillId="9" borderId="0" xfId="0" applyNumberFormat="1" applyFont="1" applyFill="1" applyBorder="1" applyAlignment="1">
      <x:alignment vertical="center" wrapText="0"/>
    </x:xf>
    <x:xf numFmtId="0" fontId="9" fillId="9" borderId="1" xfId="0" applyNumberFormat="1" applyFont="1" applyFill="1" applyBorder="1" applyAlignment="1">
      <x:alignment vertical="center" wrapText="0"/>
    </x:xf>
    <x:xf numFmtId="0" fontId="9" fillId="9" borderId="2" xfId="0" applyNumberFormat="1" applyFont="1" applyFill="1" applyBorder="1" applyAlignment="1">
      <x:alignment vertical="center" wrapText="0"/>
    </x:xf>
    <x:xf numFmtId="0" fontId="9" fillId="9" borderId="3" xfId="0" applyNumberFormat="1" applyFont="1" applyFill="1" applyBorder="1" applyAlignment="1">
      <x:alignment vertical="center" wrapText="0"/>
    </x:xf>
    <x:xf numFmtId="0" fontId="9" fillId="9" borderId="1" xfId="0" applyNumberFormat="1" applyFont="1" applyFill="1" applyBorder="1" applyAlignment="1">
      <x:alignment horizontal="left" vertical="center" wrapText="0"/>
    </x:xf>
    <x:xf numFmtId="0" fontId="9" fillId="9" borderId="2" xfId="0" applyNumberFormat="1" applyFont="1" applyFill="1" applyBorder="1" applyAlignment="1">
      <x:alignment horizontal="left" vertical="center" wrapText="0"/>
    </x:xf>
    <x:xf numFmtId="0" fontId="9" fillId="9" borderId="3" xfId="0" applyNumberFormat="1" applyFont="1" applyFill="1" applyBorder="1" applyAlignment="1">
      <x:alignment horizontal="left" vertical="center" wrapText="0"/>
    </x:xf>
    <x:xf numFmtId="0" fontId="8" fillId="10" borderId="0" xfId="0" applyNumberFormat="1" applyFont="1" applyFill="1" applyBorder="1" applyAlignment="1">
      <x:alignment vertical="center" wrapText="0"/>
    </x:xf>
    <x:xf numFmtId="0" fontId="9" fillId="10" borderId="0" xfId="0" applyNumberFormat="1" applyFont="1" applyFill="1" applyBorder="1" applyAlignment="1">
      <x:alignment vertical="center" wrapText="0"/>
    </x:xf>
    <x:xf numFmtId="0" fontId="9" fillId="10" borderId="2" xfId="0" applyNumberFormat="1" applyFont="1" applyFill="1" applyBorder="1" applyAlignment="1">
      <x:alignment vertical="center" wrapText="0"/>
    </x:xf>
    <x:xf numFmtId="0" fontId="9" fillId="10" borderId="2" xfId="0" applyNumberFormat="1" applyFont="1" applyFill="1" applyBorder="1" applyAlignment="1">
      <x:alignment vertical="center" wrapText="1"/>
    </x:xf>
    <x:xf numFmtId="0" fontId="9" fillId="10" borderId="2" xfId="0" applyNumberFormat="1" applyFont="1" applyFill="1" applyBorder="1" applyAlignment="1">
      <x:alignment horizontal="center" vertical="center" wrapText="1"/>
    </x:xf>
    <x:xf numFmtId="0" fontId="8" fillId="6" borderId="11" xfId="0" applyNumberFormat="1" applyFont="1" applyFill="1" applyBorder="1" applyAlignment="1">
      <x:alignment vertical="center" wrapText="0"/>
    </x:xf>
    <x:xf numFmtId="0" fontId="8" fillId="6" borderId="12" xfId="0" applyNumberFormat="1" applyFont="1" applyFill="1" applyBorder="1" applyAlignment="1">
      <x:alignment vertical="center" wrapText="0"/>
    </x:xf>
    <x:xf numFmtId="0" fontId="8" fillId="6" borderId="13" xfId="0" applyNumberFormat="1" applyFont="1" applyFill="1" applyBorder="1" applyAlignment="1">
      <x:alignment vertical="center" wrapText="0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200" fontId="8" fillId="6" borderId="11" xfId="0" applyNumberFormat="1" applyFont="1" applyFill="1" applyBorder="1" applyAlignment="1">
      <x:alignment vertical="center" wrapText="1"/>
    </x:xf>
    <x:xf numFmtId="200" fontId="8" fillId="6" borderId="12" xfId="0" applyNumberFormat="1" applyFont="1" applyFill="1" applyBorder="1" applyAlignment="1">
      <x:alignment vertical="center" wrapText="1"/>
    </x:xf>
    <x:xf numFmtId="200" fontId="8" fillId="6" borderId="11" xfId="0" applyNumberFormat="1" applyFont="1" applyFill="1" applyBorder="1" applyAlignment="1">
      <x:alignment horizontal="center" vertical="center" wrapText="1"/>
    </x:xf>
    <x:xf numFmtId="200" fontId="8" fillId="6" borderId="12" xfId="0" applyNumberFormat="1" applyFont="1" applyFill="1" applyBorder="1" applyAlignment="1">
      <x:alignment horizontal="center" vertical="center" wrapText="1"/>
    </x:xf>
    <x:xf numFmtId="201" fontId="8" fillId="6" borderId="11" xfId="0" applyNumberFormat="1" applyFont="1" applyFill="1" applyBorder="1" applyAlignment="1">
      <x:alignment vertical="center" wrapText="1"/>
    </x:xf>
    <x:xf numFmtId="201" fontId="8" fillId="6" borderId="12" xfId="0" applyNumberFormat="1" applyFont="1" applyFill="1" applyBorder="1" applyAlignment="1">
      <x:alignment vertical="center" wrapText="1"/>
    </x:xf>
    <x:xf numFmtId="201" fontId="8" fillId="6" borderId="11" xfId="0" applyNumberFormat="1" applyFont="1" applyFill="1" applyBorder="1" applyAlignment="1">
      <x:alignment horizontal="right" vertical="center" wrapText="1"/>
    </x:xf>
    <x:xf numFmtId="201" fontId="8" fillId="6" borderId="12" xfId="0" applyNumberFormat="1" applyFont="1" applyFill="1" applyBorder="1" applyAlignment="1">
      <x:alignment horizontal="right" vertical="center" wrapText="1"/>
    </x:xf>
    <x:xf numFmtId="0" fontId="8" fillId="8" borderId="11" xfId="0" applyNumberFormat="1" applyFont="1" applyFill="1" applyBorder="1" applyAlignment="1">
      <x:alignment vertical="center" wrapText="1"/>
    </x:xf>
    <x:xf numFmtId="0" fontId="8" fillId="8" borderId="12" xfId="0" applyNumberFormat="1" applyFont="1" applyFill="1" applyBorder="1" applyAlignment="1">
      <x:alignment vertical="center" wrapText="1"/>
    </x:xf>
    <x:xf numFmtId="0" fontId="8" fillId="8" borderId="13" xfId="0" applyNumberFormat="1" applyFont="1" applyFill="1" applyBorder="1" applyAlignment="1">
      <x:alignment vertical="center" wrapText="1"/>
    </x:xf>
    <x:xf numFmtId="0" fontId="8" fillId="8" borderId="14" xfId="0" applyNumberFormat="1" applyFont="1" applyFill="1" applyBorder="1" applyAlignment="1">
      <x:alignment vertical="center" wrapText="1"/>
    </x:xf>
    <x:xf numFmtId="0" fontId="8" fillId="8" borderId="15" xfId="0" applyNumberFormat="1" applyFont="1" applyFill="1" applyBorder="1" applyAlignment="1">
      <x:alignment vertical="center" wrapText="1"/>
    </x:xf>
    <x:xf numFmtId="0" fontId="8" fillId="8" borderId="16" xfId="0" applyNumberFormat="1" applyFont="1" applyFill="1" applyBorder="1" applyAlignment="1">
      <x:alignment vertical="center" wrapText="1"/>
    </x:xf>
    <x:xf numFmtId="201" fontId="8" fillId="8" borderId="14" xfId="0" applyNumberFormat="1" applyFont="1" applyFill="1" applyBorder="1" applyAlignment="1">
      <x:alignment vertical="center" wrapText="1"/>
    </x:xf>
    <x:xf numFmtId="201" fontId="8" fillId="8" borderId="15" xfId="0" applyNumberFormat="1" applyFont="1" applyFill="1" applyBorder="1" applyAlignment="1">
      <x:alignment vertical="center" wrapText="1"/>
    </x:xf>
    <x:xf numFmtId="201" fontId="8" fillId="8" borderId="16" xfId="0" applyNumberFormat="1" applyFont="1" applyFill="1" applyBorder="1" applyAlignment="1">
      <x:alignment vertical="center" wrapText="1"/>
    </x:xf>
    <x:xf numFmtId="201" fontId="8" fillId="8" borderId="14" xfId="0" applyNumberFormat="1" applyFont="1" applyFill="1" applyBorder="1" applyAlignment="1">
      <x:alignment horizontal="right" vertical="center" wrapText="1"/>
    </x:xf>
    <x:xf numFmtId="201" fontId="8" fillId="8" borderId="15" xfId="0" applyNumberFormat="1" applyFont="1" applyFill="1" applyBorder="1" applyAlignment="1">
      <x:alignment horizontal="right" vertical="center" wrapText="1"/>
    </x:xf>
    <x:xf numFmtId="201" fontId="8" fillId="8" borderId="16" xfId="0" applyNumberFormat="1" applyFont="1" applyFill="1" applyBorder="1" applyAlignment="1">
      <x:alignment horizontal="right" vertical="center" wrapText="1"/>
    </x:xf>
    <x:xf numFmtId="202" fontId="8" fillId="6" borderId="11" xfId="0" applyNumberFormat="1" applyFont="1" applyFill="1" applyBorder="1" applyAlignment="1">
      <x:alignment vertical="center" wrapText="1"/>
    </x:xf>
    <x:xf numFmtId="202" fontId="8" fillId="6" borderId="12" xfId="0" applyNumberFormat="1" applyFont="1" applyFill="1" applyBorder="1" applyAlignment="1">
      <x:alignment vertical="center" wrapText="1"/>
    </x:xf>
    <x:xf numFmtId="202" fontId="8" fillId="6" borderId="11" xfId="0" applyNumberFormat="1" applyFont="1" applyFill="1" applyBorder="1" applyAlignment="1">
      <x:alignment horizontal="right" vertical="center" wrapText="1"/>
    </x:xf>
    <x:xf numFmtId="202" fontId="8" fillId="6" borderId="12" xfId="0" applyNumberFormat="1" applyFont="1" applyFill="1" applyBorder="1" applyAlignment="1">
      <x:alignment horizontal="right" vertical="center" wrapText="1"/>
    </x:xf>
    <x:xf numFmtId="0" fontId="8" fillId="6" borderId="11" xfId="0" applyNumberFormat="1" applyFont="1" applyFill="1" applyBorder="1" applyAlignment="1">
      <x:alignment horizontal="center" vertical="center" wrapText="1"/>
    </x:xf>
    <x:xf numFmtId="0" fontId="8" fillId="6" borderId="12" xfId="0" applyNumberFormat="1" applyFont="1" applyFill="1" applyBorder="1" applyAlignment="1">
      <x:alignment horizontal="center"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horizontal="center" vertical="center" wrapText="1"/>
    </x:xf>
    <x:xf numFmtId="0" fontId="9" fillId="6" borderId="12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vertical="center" wrapText="0"/>
    </x:xf>
    <x:xf numFmtId="0" fontId="8" fillId="5" borderId="17" xfId="0" applyNumberFormat="1" applyFont="1" applyFill="1" applyBorder="1" applyAlignment="1">
      <x:alignment vertical="center" wrapText="0"/>
    </x:xf>
    <x:xf numFmtId="0" fontId="8" fillId="5" borderId="5" xfId="0" applyNumberFormat="1" applyFont="1" applyFill="1" applyBorder="1" applyAlignment="1">
      <x:alignment vertical="center" wrapText="0"/>
    </x:xf>
    <x:xf numFmtId="0" fontId="8" fillId="5" borderId="6" xfId="0" applyNumberFormat="1" applyFont="1" applyFill="1" applyBorder="1" applyAlignment="1">
      <x:alignment vertical="center" wrapText="0"/>
    </x:xf>
    <x:xf numFmtId="0" fontId="8" fillId="5" borderId="18" xfId="0" applyNumberFormat="1" applyFont="1" applyFill="1" applyBorder="1" applyAlignment="1">
      <x:alignment vertical="center" wrapText="0"/>
    </x:xf>
    <x:xf numFmtId="0" fontId="8" fillId="5" borderId="7" xfId="0" applyNumberFormat="1" applyFont="1" applyFill="1" applyBorder="1" applyAlignment="1">
      <x:alignment vertical="center" wrapText="0"/>
    </x:xf>
    <x:xf numFmtId="0" fontId="8" fillId="5" borderId="4" xfId="0" applyNumberFormat="1" applyFont="1" applyFill="1" applyBorder="1" applyAlignment="1">
      <x:alignment vertical="center" wrapText="1"/>
    </x:xf>
    <x:xf numFmtId="0" fontId="8" fillId="5" borderId="17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8" fillId="5" borderId="18" xfId="0" applyNumberFormat="1" applyFont="1" applyFill="1" applyBorder="1" applyAlignment="1">
      <x:alignment vertical="center" wrapText="1"/>
    </x:xf>
    <x:xf numFmtId="0" fontId="8" fillId="5" borderId="7" xfId="0" applyNumberFormat="1" applyFont="1" applyFill="1" applyBorder="1" applyAlignment="1">
      <x:alignment vertical="center" wrapText="1"/>
    </x:xf>
    <x:xf numFmtId="0" fontId="8" fillId="5" borderId="4" xfId="0" applyNumberFormat="1" applyFont="1" applyFill="1" applyBorder="1" applyAlignment="1">
      <x:alignment horizontal="left" vertical="center" wrapText="1"/>
    </x:xf>
    <x:xf numFmtId="0" fontId="8" fillId="5" borderId="17" xfId="0" applyNumberFormat="1" applyFont="1" applyFill="1" applyBorder="1" applyAlignment="1">
      <x:alignment horizontal="left" vertical="center" wrapText="1"/>
    </x:xf>
    <x:xf numFmtId="0" fontId="8" fillId="5" borderId="5" xfId="0" applyNumberFormat="1" applyFont="1" applyFill="1" applyBorder="1" applyAlignment="1">
      <x:alignment horizontal="left" vertical="center" wrapText="1"/>
    </x:xf>
    <x:xf numFmtId="0" fontId="8" fillId="5" borderId="6" xfId="0" applyNumberFormat="1" applyFont="1" applyFill="1" applyBorder="1" applyAlignment="1">
      <x:alignment horizontal="left" vertical="center" wrapText="1"/>
    </x:xf>
    <x:xf numFmtId="0" fontId="8" fillId="5" borderId="18" xfId="0" applyNumberFormat="1" applyFont="1" applyFill="1" applyBorder="1" applyAlignment="1">
      <x:alignment horizontal="left" vertical="center" wrapText="1"/>
    </x:xf>
    <x:xf numFmtId="0" fontId="8" fillId="5" borderId="7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 applyAlignment="1">
      <x:alignment vertical="bottom" wrapText="0"/>
    </x:xf>
    <x:xf numFmtId="0" fontId="9" fillId="11" borderId="0" xfId="0" applyNumberFormat="1" applyFont="1" applyFill="1" applyBorder="1" applyAlignment="1">
      <x:alignment vertical="bottom" wrapText="0"/>
    </x:xf>
    <x:xf numFmtId="0" fontId="9" fillId="11" borderId="1" xfId="0" applyNumberFormat="1" applyFont="1" applyFill="1" applyBorder="1" applyAlignment="1">
      <x:alignment vertical="bottom" wrapText="0"/>
    </x:xf>
    <x:xf numFmtId="0" fontId="9" fillId="11" borderId="2" xfId="0" applyNumberFormat="1" applyFont="1" applyFill="1" applyBorder="1" applyAlignment="1">
      <x:alignment vertical="bottom" wrapText="0"/>
    </x:xf>
    <x:xf numFmtId="0" fontId="9" fillId="11" borderId="3" xfId="0" applyNumberFormat="1" applyFont="1" applyFill="1" applyBorder="1" applyAlignment="1">
      <x:alignment vertical="bottom" wrapText="0"/>
    </x:xf>
    <x:xf numFmtId="0" fontId="9" fillId="11" borderId="1" xfId="0" applyNumberFormat="1" applyFont="1" applyFill="1" applyBorder="1" applyAlignment="1">
      <x:alignment vertical="bottom" wrapText="1"/>
    </x:xf>
    <x:xf numFmtId="0" fontId="9" fillId="11" borderId="2" xfId="0" applyNumberFormat="1" applyFont="1" applyFill="1" applyBorder="1" applyAlignment="1">
      <x:alignment vertical="bottom" wrapText="1"/>
    </x:xf>
    <x:xf numFmtId="0" fontId="9" fillId="11" borderId="3" xfId="0" applyNumberFormat="1" applyFont="1" applyFill="1" applyBorder="1" applyAlignment="1">
      <x:alignment vertical="bottom" wrapText="1"/>
    </x:xf>
    <x:xf numFmtId="0" fontId="9" fillId="11" borderId="1" xfId="0" applyNumberFormat="1" applyFont="1" applyFill="1" applyBorder="1" applyAlignment="1">
      <x:alignment horizontal="left" vertical="bottom" wrapText="1"/>
    </x:xf>
    <x:xf numFmtId="0" fontId="9" fillId="11" borderId="2" xfId="0" applyNumberFormat="1" applyFont="1" applyFill="1" applyBorder="1" applyAlignment="1">
      <x:alignment horizontal="left" vertical="bottom" wrapText="1"/>
    </x:xf>
    <x:xf numFmtId="0" fontId="9" fillId="11" borderId="3" xfId="0" applyNumberFormat="1" applyFont="1" applyFill="1" applyBorder="1" applyAlignment="1">
      <x:alignment horizontal="left" vertical="bottom" wrapText="1"/>
    </x:xf>
    <x:xf numFmtId="0" fontId="9" fillId="11" borderId="1" xfId="0" applyNumberFormat="1" applyFont="1" applyFill="1" applyBorder="1" applyAlignment="1">
      <x:alignment horizontal="left" vertical="center" wrapText="1"/>
    </x:xf>
    <x:xf numFmtId="0" fontId="9" fillId="11" borderId="2" xfId="0" applyNumberFormat="1" applyFont="1" applyFill="1" applyBorder="1" applyAlignment="1">
      <x:alignment horizontal="left" vertical="center" wrapText="1"/>
    </x:xf>
    <x:xf numFmtId="0" fontId="9" fillId="11" borderId="3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 applyAlignment="1">
      <x:alignment vertical="bottom" wrapText="0"/>
    </x:xf>
    <x:xf numFmtId="0" fontId="10" fillId="12" borderId="0" xfId="0" applyNumberFormat="1" applyFont="1" applyFill="1" applyBorder="1" applyAlignment="1">
      <x:alignment vertical="bottom" wrapText="0"/>
    </x:xf>
    <x:xf numFmtId="0" fontId="10" fillId="12" borderId="1" xfId="0" applyNumberFormat="1" applyFont="1" applyFill="1" applyBorder="1" applyAlignment="1">
      <x:alignment vertical="bottom" wrapText="0"/>
    </x:xf>
    <x:xf numFmtId="0" fontId="10" fillId="12" borderId="2" xfId="0" applyNumberFormat="1" applyFont="1" applyFill="1" applyBorder="1" applyAlignment="1">
      <x:alignment vertical="bottom" wrapText="0"/>
    </x:xf>
    <x:xf numFmtId="0" fontId="10" fillId="12" borderId="3" xfId="0" applyNumberFormat="1" applyFont="1" applyFill="1" applyBorder="1" applyAlignment="1">
      <x:alignment vertical="bottom" wrapText="0"/>
    </x:xf>
    <x:xf numFmtId="0" fontId="10" fillId="12" borderId="1" xfId="0" applyNumberFormat="1" applyFont="1" applyFill="1" applyBorder="1" applyAlignment="1">
      <x:alignment vertical="bottom" wrapText="1"/>
    </x:xf>
    <x:xf numFmtId="0" fontId="10" fillId="12" borderId="2" xfId="0" applyNumberFormat="1" applyFont="1" applyFill="1" applyBorder="1" applyAlignment="1">
      <x:alignment vertical="bottom" wrapText="1"/>
    </x:xf>
    <x:xf numFmtId="0" fontId="10" fillId="12" borderId="3" xfId="0" applyNumberFormat="1" applyFont="1" applyFill="1" applyBorder="1" applyAlignment="1">
      <x:alignment vertical="bottom" wrapText="1"/>
    </x:xf>
    <x:xf numFmtId="0" fontId="10" fillId="12" borderId="1" xfId="0" applyNumberFormat="1" applyFont="1" applyFill="1" applyBorder="1" applyAlignment="1">
      <x:alignment horizontal="left" vertical="bottom" wrapText="1"/>
    </x:xf>
    <x:xf numFmtId="0" fontId="10" fillId="12" borderId="2" xfId="0" applyNumberFormat="1" applyFont="1" applyFill="1" applyBorder="1" applyAlignment="1">
      <x:alignment horizontal="left" vertical="bottom" wrapText="1"/>
    </x:xf>
    <x:xf numFmtId="0" fontId="10" fillId="12" borderId="3" xfId="0" applyNumberFormat="1" applyFont="1" applyFill="1" applyBorder="1" applyAlignment="1">
      <x:alignment horizontal="left" vertical="bottom" wrapText="1"/>
    </x:xf>
    <x:xf numFmtId="0" fontId="10" fillId="12" borderId="1" xfId="0" applyNumberFormat="1" applyFont="1" applyFill="1" applyBorder="1" applyAlignment="1">
      <x:alignment horizontal="left" vertical="center" wrapText="1"/>
    </x:xf>
    <x:xf numFmtId="0" fontId="10" fillId="12" borderId="2" xfId="0" applyNumberFormat="1" applyFont="1" applyFill="1" applyBorder="1" applyAlignment="1">
      <x:alignment horizontal="left" vertical="center" wrapText="1"/>
    </x:xf>
    <x:xf numFmtId="0" fontId="10" fillId="12" borderId="3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 applyAlignment="1">
      <x:alignment vertical="bottom" wrapText="0"/>
    </x:xf>
    <x:xf numFmtId="0" fontId="9" fillId="13" borderId="0" xfId="0" applyNumberFormat="1" applyFont="1" applyFill="1" applyBorder="1" applyAlignment="1">
      <x:alignment vertical="bottom" wrapText="0"/>
    </x:xf>
    <x:xf numFmtId="0" fontId="9" fillId="13" borderId="1" xfId="0" applyNumberFormat="1" applyFont="1" applyFill="1" applyBorder="1" applyAlignment="1">
      <x:alignment vertical="bottom" wrapText="0"/>
    </x:xf>
    <x:xf numFmtId="0" fontId="9" fillId="13" borderId="2" xfId="0" applyNumberFormat="1" applyFont="1" applyFill="1" applyBorder="1" applyAlignment="1">
      <x:alignment vertical="bottom" wrapText="0"/>
    </x:xf>
    <x:xf numFmtId="0" fontId="9" fillId="13" borderId="3" xfId="0" applyNumberFormat="1" applyFont="1" applyFill="1" applyBorder="1" applyAlignment="1">
      <x:alignment vertical="bottom" wrapText="0"/>
    </x:xf>
    <x:xf numFmtId="0" fontId="9" fillId="13" borderId="1" xfId="0" applyNumberFormat="1" applyFont="1" applyFill="1" applyBorder="1" applyAlignment="1">
      <x:alignment horizontal="left" vertical="bottom" wrapText="0"/>
    </x:xf>
    <x:xf numFmtId="0" fontId="9" fillId="13" borderId="2" xfId="0" applyNumberFormat="1" applyFont="1" applyFill="1" applyBorder="1" applyAlignment="1">
      <x:alignment horizontal="left" vertical="bottom" wrapText="0"/>
    </x:xf>
    <x:xf numFmtId="0" fontId="9" fillId="13" borderId="3" xfId="0" applyNumberFormat="1" applyFont="1" applyFill="1" applyBorder="1" applyAlignment="1">
      <x:alignment horizontal="left" vertical="bottom" wrapText="0"/>
    </x:xf>
    <x:xf numFmtId="0" fontId="9" fillId="13" borderId="1" xfId="0" applyNumberFormat="1" applyFont="1" applyFill="1" applyBorder="1" applyAlignment="1">
      <x:alignment horizontal="left" vertical="center" wrapText="0"/>
    </x:xf>
    <x:xf numFmtId="0" fontId="9" fillId="13" borderId="2" xfId="0" applyNumberFormat="1" applyFont="1" applyFill="1" applyBorder="1" applyAlignment="1">
      <x:alignment horizontal="left" vertical="center" wrapText="0"/>
    </x:xf>
    <x:xf numFmtId="0" fontId="9" fillId="13" borderId="3" xfId="0" applyNumberFormat="1" applyFont="1" applyFill="1" applyBorder="1" applyAlignment="1">
      <x:alignment horizontal="left" vertical="center" wrapText="0"/>
    </x:xf>
    <x:xf numFmtId="0" fontId="0" fillId="14" borderId="0" xfId="0" applyNumberFormat="1" applyFont="1" applyFill="1" applyBorder="1" applyAlignment="1">
      <x:alignment vertical="bottom" wrapText="0"/>
    </x:xf>
    <x:xf numFmtId="0" fontId="9" fillId="14" borderId="0" xfId="0" applyNumberFormat="1" applyFont="1" applyFill="1" applyBorder="1" applyAlignment="1">
      <x:alignment vertical="bottom" wrapText="0"/>
    </x:xf>
    <x:xf numFmtId="0" fontId="9" fillId="14" borderId="3" xfId="0" applyNumberFormat="1" applyFont="1" applyFill="1" applyBorder="1" applyAlignment="1">
      <x:alignment vertical="bottom" wrapText="0"/>
    </x:xf>
    <x:xf numFmtId="0" fontId="9" fillId="14" borderId="19" xfId="0" applyNumberFormat="1" applyFont="1" applyFill="1" applyBorder="1" applyAlignment="1">
      <x:alignment vertical="bottom" wrapText="0"/>
    </x:xf>
    <x:xf numFmtId="0" fontId="9" fillId="14" borderId="1" xfId="0" applyNumberFormat="1" applyFont="1" applyFill="1" applyBorder="1" applyAlignment="1">
      <x:alignment vertical="bottom" wrapText="0"/>
    </x:xf>
    <x:xf numFmtId="0" fontId="9" fillId="14" borderId="3" xfId="0" applyNumberFormat="1" applyFont="1" applyFill="1" applyBorder="1" applyAlignment="1">
      <x:alignment vertical="bottom" wrapText="1"/>
    </x:xf>
    <x:xf numFmtId="0" fontId="9" fillId="14" borderId="19" xfId="0" applyNumberFormat="1" applyFont="1" applyFill="1" applyBorder="1" applyAlignment="1">
      <x:alignment vertical="bottom" wrapText="1"/>
    </x:xf>
    <x:xf numFmtId="0" fontId="9" fillId="14" borderId="1" xfId="0" applyNumberFormat="1" applyFont="1" applyFill="1" applyBorder="1" applyAlignment="1">
      <x:alignment vertical="bottom" wrapText="1"/>
    </x:xf>
    <x:xf numFmtId="0" fontId="9" fillId="14" borderId="3" xfId="0" applyNumberFormat="1" applyFont="1" applyFill="1" applyBorder="1" applyAlignment="1">
      <x:alignment horizontal="center" vertical="bottom" wrapText="1"/>
    </x:xf>
    <x:xf numFmtId="0" fontId="9" fillId="14" borderId="19" xfId="0" applyNumberFormat="1" applyFont="1" applyFill="1" applyBorder="1" applyAlignment="1">
      <x:alignment horizontal="center" vertical="bottom" wrapText="1"/>
    </x:xf>
    <x:xf numFmtId="0" fontId="9" fillId="14" borderId="1" xfId="0" applyNumberFormat="1" applyFont="1" applyFill="1" applyBorder="1" applyAlignment="1">
      <x:alignment horizontal="center" vertical="bottom" wrapText="1"/>
    </x:xf>
    <x:xf numFmtId="0" fontId="9" fillId="14" borderId="3" xfId="0" applyNumberFormat="1" applyFont="1" applyFill="1" applyBorder="1" applyAlignment="1">
      <x:alignment horizontal="center" vertical="center" wrapText="1"/>
    </x:xf>
    <x:xf numFmtId="0" fontId="9" fillId="14" borderId="19" xfId="0" applyNumberFormat="1" applyFont="1" applyFill="1" applyBorder="1" applyAlignment="1">
      <x:alignment horizontal="center" vertical="center" wrapText="1"/>
    </x:xf>
    <x:xf numFmtId="0" fontId="9" fillId="14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bottom" wrapText="0"/>
    </x:xf>
    <x:xf numFmtId="0" fontId="8" fillId="15" borderId="0" xfId="0" applyNumberFormat="1" applyFont="1" applyFill="1" applyBorder="1" applyAlignment="1">
      <x:alignment vertical="bottom" wrapText="0"/>
    </x:xf>
    <x:xf numFmtId="0" fontId="8" fillId="15" borderId="11" xfId="0" applyNumberFormat="1" applyFont="1" applyFill="1" applyBorder="1" applyAlignment="1">
      <x:alignment vertical="bottom" wrapText="0"/>
    </x:xf>
    <x:xf numFmtId="0" fontId="8" fillId="15" borderId="12" xfId="0" applyNumberFormat="1" applyFont="1" applyFill="1" applyBorder="1" applyAlignment="1">
      <x:alignment vertical="bottom" wrapText="0"/>
    </x:xf>
    <x:xf numFmtId="0" fontId="8" fillId="15" borderId="13" xfId="0" applyNumberFormat="1" applyFont="1" applyFill="1" applyBorder="1" applyAlignment="1">
      <x:alignment vertical="bottom" wrapText="0"/>
    </x:xf>
    <x:xf numFmtId="0" fontId="8" fillId="15" borderId="11" xfId="0" applyNumberFormat="1" applyFont="1" applyFill="1" applyBorder="1" applyAlignment="1">
      <x:alignment vertical="bottom" wrapText="1"/>
    </x:xf>
    <x:xf numFmtId="0" fontId="8" fillId="15" borderId="12" xfId="0" applyNumberFormat="1" applyFont="1" applyFill="1" applyBorder="1" applyAlignment="1">
      <x:alignment vertical="bottom" wrapText="1"/>
    </x:xf>
    <x:xf numFmtId="0" fontId="8" fillId="15" borderId="13" xfId="0" applyNumberFormat="1" applyFont="1" applyFill="1" applyBorder="1" applyAlignment="1">
      <x:alignment vertical="bottom" wrapText="1"/>
    </x:xf>
    <x:xf numFmtId="0" fontId="8" fillId="15" borderId="11" xfId="0" applyNumberFormat="1" applyFont="1" applyFill="1" applyBorder="1" applyAlignment="1">
      <x:alignment vertical="center" wrapText="1"/>
    </x:xf>
    <x:xf numFmtId="0" fontId="8" fillId="15" borderId="12" xfId="0" applyNumberFormat="1" applyFont="1" applyFill="1" applyBorder="1" applyAlignment="1">
      <x:alignment vertical="center" wrapText="1"/>
    </x:xf>
    <x:xf numFmtId="0" fontId="8" fillId="15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horizontal="center" vertical="center" wrapText="1"/>
    </x:xf>
    <x:xf numFmtId="0" fontId="8" fillId="15" borderId="12" xfId="0" applyNumberFormat="1" applyFont="1" applyFill="1" applyBorder="1" applyAlignment="1">
      <x:alignment horizontal="center" vertical="center" wrapText="1"/>
    </x:xf>
    <x:xf numFmtId="201" fontId="8" fillId="15" borderId="11" xfId="0" applyNumberFormat="1" applyFont="1" applyFill="1" applyBorder="1" applyAlignment="1">
      <x:alignment vertical="center" wrapText="1"/>
    </x:xf>
    <x:xf numFmtId="201" fontId="8" fillId="15" borderId="12" xfId="0" applyNumberFormat="1" applyFont="1" applyFill="1" applyBorder="1" applyAlignment="1">
      <x:alignment vertical="center" wrapText="1"/>
    </x:xf>
    <x:xf numFmtId="201" fontId="8" fillId="15" borderId="11" xfId="0" applyNumberFormat="1" applyFont="1" applyFill="1" applyBorder="1" applyAlignment="1">
      <x:alignment horizontal="right" vertical="center" wrapText="1"/>
    </x:xf>
    <x:xf numFmtId="201" fontId="8" fillId="15" borderId="12" xfId="0" applyNumberFormat="1" applyFont="1" applyFill="1" applyBorder="1" applyAlignment="1">
      <x:alignment horizontal="right" vertical="center" wrapText="1"/>
    </x:xf>
    <x:xf numFmtId="0" fontId="8" fillId="15" borderId="11" xfId="0" applyNumberFormat="1" applyFont="1" applyFill="1" applyBorder="1" applyAlignment="1">
      <x:alignment horizontal="left" vertical="center" wrapText="1"/>
    </x:xf>
    <x:xf numFmtId="0" fontId="8" fillId="15" borderId="12" xfId="0" applyNumberFormat="1" applyFont="1" applyFill="1" applyBorder="1" applyAlignment="1">
      <x:alignment horizontal="left" vertical="center" wrapText="1"/>
    </x:xf>
    <x:xf numFmtId="0" fontId="12" fillId="15" borderId="11" xfId="0" applyNumberFormat="1" applyFont="1" applyFill="1" applyBorder="1" applyAlignment="1">
      <x:alignment horizontal="left" vertical="center" wrapText="1"/>
    </x:xf>
    <x:xf numFmtId="0" fontId="12" fillId="15" borderId="12" xfId="0" applyNumberFormat="1" applyFont="1" applyFill="1" applyBorder="1" applyAlignment="1">
      <x:alignment horizontal="left" vertical="center" wrapText="1"/>
    </x:xf>
    <x:xf numFmtId="0" fontId="8" fillId="16" borderId="11" xfId="0" applyNumberFormat="1" applyFont="1" applyFill="1" applyBorder="1" applyAlignment="1">
      <x:alignment vertical="center" wrapText="1"/>
    </x:xf>
    <x:xf numFmtId="0" fontId="8" fillId="16" borderId="12" xfId="0" applyNumberFormat="1" applyFont="1" applyFill="1" applyBorder="1" applyAlignment="1">
      <x:alignment vertical="center" wrapText="1"/>
    </x:xf>
    <x:xf numFmtId="0" fontId="8" fillId="16" borderId="13" xfId="0" applyNumberFormat="1" applyFont="1" applyFill="1" applyBorder="1" applyAlignment="1">
      <x:alignment vertical="center" wrapText="1"/>
    </x:xf>
    <x:xf numFmtId="201" fontId="8" fillId="16" borderId="11" xfId="0" applyNumberFormat="1" applyFont="1" applyFill="1" applyBorder="1" applyAlignment="1">
      <x:alignment vertical="center" wrapText="1"/>
    </x:xf>
    <x:xf numFmtId="201" fontId="8" fillId="16" borderId="12" xfId="0" applyNumberFormat="1" applyFont="1" applyFill="1" applyBorder="1" applyAlignment="1">
      <x:alignment vertical="center" wrapText="1"/>
    </x:xf>
    <x:xf numFmtId="201" fontId="8" fillId="16" borderId="11" xfId="0" applyNumberFormat="1" applyFont="1" applyFill="1" applyBorder="1" applyAlignment="1">
      <x:alignment horizontal="right" vertical="center" wrapText="1"/>
    </x:xf>
    <x:xf numFmtId="201" fontId="8" fillId="16" borderId="12" xfId="0" applyNumberFormat="1" applyFont="1" applyFill="1" applyBorder="1" applyAlignment="1">
      <x:alignment horizontal="right" vertical="center" wrapText="1"/>
    </x:xf>
    <x:xf numFmtId="0" fontId="8" fillId="17" borderId="11" xfId="0" applyNumberFormat="1" applyFont="1" applyFill="1" applyBorder="1" applyAlignment="1">
      <x:alignment vertical="center" wrapText="1"/>
    </x:xf>
    <x:xf numFmtId="0" fontId="8" fillId="17" borderId="12" xfId="0" applyNumberFormat="1" applyFont="1" applyFill="1" applyBorder="1" applyAlignment="1">
      <x:alignment vertical="center" wrapText="1"/>
    </x:xf>
    <x:xf numFmtId="0" fontId="8" fillId="17" borderId="13" xfId="0" applyNumberFormat="1" applyFont="1" applyFill="1" applyBorder="1" applyAlignment="1">
      <x:alignment vertical="center" wrapText="1"/>
    </x:xf>
    <x:xf numFmtId="0" fontId="8" fillId="17" borderId="11" xfId="0" applyNumberFormat="1" applyFont="1" applyFill="1" applyBorder="1" applyAlignment="1">
      <x:alignment horizontal="right" vertical="center" wrapText="1"/>
    </x:xf>
    <x:xf numFmtId="0" fontId="8" fillId="17" borderId="12" xfId="0" applyNumberFormat="1" applyFont="1" applyFill="1" applyBorder="1" applyAlignment="1">
      <x:alignment horizontal="right" vertical="center" wrapText="1"/>
    </x:xf>
    <x:xf numFmtId="201" fontId="8" fillId="17" borderId="11" xfId="0" applyNumberFormat="1" applyFont="1" applyFill="1" applyBorder="1" applyAlignment="1">
      <x:alignment horizontal="right" vertical="center" wrapText="1"/>
    </x:xf>
    <x:xf numFmtId="201" fontId="8" fillId="17" borderId="12" xfId="0" applyNumberFormat="1" applyFont="1" applyFill="1" applyBorder="1" applyAlignment="1">
      <x:alignment horizontal="right" vertical="center" wrapText="1"/>
    </x:xf>
    <x:xf numFmtId="202" fontId="8" fillId="17" borderId="11" xfId="0" applyNumberFormat="1" applyFont="1" applyFill="1" applyBorder="1" applyAlignment="1">
      <x:alignment horizontal="right" vertical="center" wrapText="1"/>
    </x:xf>
    <x:xf numFmtId="202" fontId="8" fillId="17" borderId="12" xfId="0" applyNumberFormat="1" applyFont="1" applyFill="1" applyBorder="1" applyAlignment="1">
      <x:alignment horizontal="right" vertical="center" wrapText="1"/>
    </x:xf>
    <x:xf numFmtId="0" fontId="8" fillId="18" borderId="11" xfId="0" applyNumberFormat="1" applyFont="1" applyFill="1" applyBorder="1" applyAlignment="1">
      <x:alignment vertical="center" wrapText="1"/>
    </x:xf>
    <x:xf numFmtId="0" fontId="8" fillId="18" borderId="12" xfId="0" applyNumberFormat="1" applyFont="1" applyFill="1" applyBorder="1" applyAlignment="1">
      <x:alignment vertical="center" wrapText="1"/>
    </x:xf>
    <x:xf numFmtId="0" fontId="8" fillId="18" borderId="13" xfId="0" applyNumberFormat="1" applyFont="1" applyFill="1" applyBorder="1" applyAlignment="1">
      <x:alignment vertical="center" wrapText="1"/>
    </x:xf>
    <x:xf numFmtId="0" fontId="8" fillId="18" borderId="11" xfId="0" applyNumberFormat="1" applyFont="1" applyFill="1" applyBorder="1" applyAlignment="1">
      <x:alignment horizontal="center" vertical="center" wrapText="1"/>
    </x:xf>
    <x:xf numFmtId="0" fontId="8" fillId="18" borderId="12" xfId="0" applyNumberFormat="1" applyFont="1" applyFill="1" applyBorder="1" applyAlignment="1">
      <x:alignment horizontal="center" vertical="center" wrapText="1"/>
    </x:xf>
    <x:xf numFmtId="201" fontId="8" fillId="18" borderId="11" xfId="0" applyNumberFormat="1" applyFont="1" applyFill="1" applyBorder="1" applyAlignment="1">
      <x:alignment horizontal="center" vertical="center" wrapText="1"/>
    </x:xf>
    <x:xf numFmtId="201" fontId="8" fillId="18" borderId="12" xfId="0" applyNumberFormat="1" applyFont="1" applyFill="1" applyBorder="1" applyAlignment="1">
      <x:alignment horizontal="center" vertical="center" wrapText="1"/>
    </x:xf>
    <x:xf numFmtId="0" fontId="10" fillId="12" borderId="4" xfId="0" applyNumberFormat="1" applyFont="1" applyFill="1" applyBorder="1" applyAlignment="1">
      <x:alignment vertical="bottom" wrapText="0"/>
    </x:xf>
    <x:xf numFmtId="0" fontId="10" fillId="12" borderId="17" xfId="0" applyNumberFormat="1" applyFont="1" applyFill="1" applyBorder="1" applyAlignment="1">
      <x:alignment vertical="bottom" wrapText="0"/>
    </x:xf>
    <x:xf numFmtId="0" fontId="10" fillId="12" borderId="5" xfId="0" applyNumberFormat="1" applyFont="1" applyFill="1" applyBorder="1" applyAlignment="1">
      <x:alignment vertical="bottom" wrapText="0"/>
    </x:xf>
    <x:xf numFmtId="0" fontId="10" fillId="12" borderId="6" xfId="0" applyNumberFormat="1" applyFont="1" applyFill="1" applyBorder="1" applyAlignment="1">
      <x:alignment vertical="bottom" wrapText="0"/>
    </x:xf>
    <x:xf numFmtId="0" fontId="10" fillId="12" borderId="18" xfId="0" applyNumberFormat="1" applyFont="1" applyFill="1" applyBorder="1" applyAlignment="1">
      <x:alignment vertical="bottom" wrapText="0"/>
    </x:xf>
    <x:xf numFmtId="0" fontId="10" fillId="12" borderId="7" xfId="0" applyNumberFormat="1" applyFont="1" applyFill="1" applyBorder="1" applyAlignment="1">
      <x:alignment vertical="bottom" wrapText="0"/>
    </x:xf>
    <x:xf numFmtId="0" fontId="10" fillId="12" borderId="4" xfId="0" applyNumberFormat="1" applyFont="1" applyFill="1" applyBorder="1" applyAlignment="1">
      <x:alignment vertical="bottom" wrapText="1"/>
    </x:xf>
    <x:xf numFmtId="0" fontId="10" fillId="12" borderId="17" xfId="0" applyNumberFormat="1" applyFont="1" applyFill="1" applyBorder="1" applyAlignment="1">
      <x:alignment vertical="bottom" wrapText="1"/>
    </x:xf>
    <x:xf numFmtId="0" fontId="10" fillId="12" borderId="5" xfId="0" applyNumberFormat="1" applyFont="1" applyFill="1" applyBorder="1" applyAlignment="1">
      <x:alignment vertical="bottom" wrapText="1"/>
    </x:xf>
    <x:xf numFmtId="0" fontId="10" fillId="12" borderId="6" xfId="0" applyNumberFormat="1" applyFont="1" applyFill="1" applyBorder="1" applyAlignment="1">
      <x:alignment vertical="bottom" wrapText="1"/>
    </x:xf>
    <x:xf numFmtId="0" fontId="10" fillId="12" borderId="18" xfId="0" applyNumberFormat="1" applyFont="1" applyFill="1" applyBorder="1" applyAlignment="1">
      <x:alignment vertical="bottom" wrapText="1"/>
    </x:xf>
    <x:xf numFmtId="0" fontId="10" fillId="12" borderId="7" xfId="0" applyNumberFormat="1" applyFont="1" applyFill="1" applyBorder="1" applyAlignment="1">
      <x:alignment vertical="bottom" wrapText="1"/>
    </x:xf>
    <x:xf numFmtId="0" fontId="10" fillId="12" borderId="4" xfId="0" applyNumberFormat="1" applyFont="1" applyFill="1" applyBorder="1" applyAlignment="1">
      <x:alignment horizontal="left" vertical="bottom" wrapText="1"/>
    </x:xf>
    <x:xf numFmtId="0" fontId="10" fillId="12" borderId="17" xfId="0" applyNumberFormat="1" applyFont="1" applyFill="1" applyBorder="1" applyAlignment="1">
      <x:alignment horizontal="left" vertical="bottom" wrapText="1"/>
    </x:xf>
    <x:xf numFmtId="0" fontId="10" fillId="12" borderId="5" xfId="0" applyNumberFormat="1" applyFont="1" applyFill="1" applyBorder="1" applyAlignment="1">
      <x:alignment horizontal="left" vertical="bottom" wrapText="1"/>
    </x:xf>
    <x:xf numFmtId="0" fontId="10" fillId="12" borderId="6" xfId="0" applyNumberFormat="1" applyFont="1" applyFill="1" applyBorder="1" applyAlignment="1">
      <x:alignment horizontal="left" vertical="bottom" wrapText="1"/>
    </x:xf>
    <x:xf numFmtId="0" fontId="10" fillId="12" borderId="18" xfId="0" applyNumberFormat="1" applyFont="1" applyFill="1" applyBorder="1" applyAlignment="1">
      <x:alignment horizontal="left" vertical="bottom" wrapText="1"/>
    </x:xf>
    <x:xf numFmtId="0" fontId="10" fillId="12" borderId="7" xfId="0" applyNumberFormat="1" applyFont="1" applyFill="1" applyBorder="1" applyAlignment="1">
      <x:alignment horizontal="left" vertical="bottom" wrapText="1"/>
    </x:xf>
    <x:xf numFmtId="0" fontId="10" fillId="12" borderId="4" xfId="0" applyNumberFormat="1" applyFont="1" applyFill="1" applyBorder="1" applyAlignment="1">
      <x:alignment horizontal="left" vertical="center" wrapText="1"/>
    </x:xf>
    <x:xf numFmtId="0" fontId="10" fillId="12" borderId="17" xfId="0" applyNumberFormat="1" applyFont="1" applyFill="1" applyBorder="1" applyAlignment="1">
      <x:alignment horizontal="left" vertical="center" wrapText="1"/>
    </x:xf>
    <x:xf numFmtId="0" fontId="10" fillId="12" borderId="5" xfId="0" applyNumberFormat="1" applyFont="1" applyFill="1" applyBorder="1" applyAlignment="1">
      <x:alignment horizontal="left" vertical="center" wrapText="1"/>
    </x:xf>
    <x:xf numFmtId="0" fontId="10" fillId="12" borderId="6" xfId="0" applyNumberFormat="1" applyFont="1" applyFill="1" applyBorder="1" applyAlignment="1">
      <x:alignment horizontal="left" vertical="center" wrapText="1"/>
    </x:xf>
    <x:xf numFmtId="0" fontId="10" fillId="12" borderId="18" xfId="0" applyNumberFormat="1" applyFont="1" applyFill="1" applyBorder="1" applyAlignment="1">
      <x:alignment horizontal="left" vertical="center" wrapText="1"/>
    </x:xf>
    <x:xf numFmtId="0" fontId="10" fillId="12" borderId="7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b/>
        <x:color rgb="FF26734D"/>
      </x:font>
      <x:fill>
        <x:patternFill>
          <x:bgColor rgb="FFE8F5E9"/>
        </x:patternFill>
      </x:fill>
    </x:dxf>
    <x:dxf>
      <x:font>
        <x:b/>
        <x:color rgb="FFA94442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6ee6a0a3046d7" /><Relationship Type="http://schemas.openxmlformats.org/officeDocument/2006/relationships/theme" Target="/xl/theme/theme1.xml" Id="R72f09f02d004433b" /><Relationship Type="http://schemas.openxmlformats.org/officeDocument/2006/relationships/sharedStrings" Target="/xl/sharedStrings.xml" Id="Re40b7d2c225744f6" /><Relationship Type="http://schemas.openxmlformats.org/officeDocument/2006/relationships/worksheet" Target="/xl/worksheets/sheet1.xml" Id="R09acebb4c3194a5e" /><Relationship Type="http://schemas.openxmlformats.org/officeDocument/2006/relationships/worksheet" Target="/xl/worksheets/sheet2.xml" Id="R71915a6aca244e5c" /><Relationship Type="http://schemas.openxmlformats.org/officeDocument/2006/relationships/worksheet" Target="/xl/worksheets/sheet3.xml" Id="R0c060235eb1347e7" /><Relationship Type="http://schemas.openxmlformats.org/officeDocument/2006/relationships/worksheet" Target="/xl/worksheets/sheet4.xml" Id="R28f74d66893940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9fc205309649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Seçili karışımın malzeme dağılımı</a:t>
            </a:r>
          </a:p>
        </c:rich>
      </c:tx>
      <c:overlay val="0"/>
    </c:title>
    <c:plotArea>
      <c:doughnutChart>
        <c:ser>
          <c:idx val="0"/>
          <c:order val="0"/>
          <c:tx>
            <c:v>Miktar (kg)</c:v>
          </c:tx>
          <c:cat>
            <c:strRef>
              <c:f>'Sonuç'!$A$34:$A$43</c:f>
              <c:strCache>
                <c:ptCount val="0"/>
              </c:strCache>
            </c:strRef>
          </c:cat>
          <c:val>
            <c:numRef>
              <c:f>'Sonuç'!$B$34:$B$43</c:f>
              <c:numCache>
                <c:formatCode>0.0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9fc205309649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proquest.com/openview/f42d49a660499af95567e2a1c64731ae/1?pq-origsite=gscholar&amp;cbl=2026366&amp;diss=y" TargetMode="External" Id="Rfaeca92e2aeb477e" /><Relationship Type="http://schemas.openxmlformats.org/officeDocument/2006/relationships/hyperlink" Target="https://www.proquest.com/openview/f42d49a660499af95567e2a1c64731ae/1?pq-origsite=gscholar&amp;cbl=2026366&amp;diss=y" TargetMode="External" Id="R85e31bfd1cc54818" /><Relationship Type="http://schemas.openxmlformats.org/officeDocument/2006/relationships/hyperlink" Target="https://www.proquest.com/openview/f42d49a660499af95567e2a1c64731ae/1?pq-origsite=gscholar&amp;cbl=2026366&amp;diss=y" TargetMode="External" Id="R6c9c754af37e4b67" /><Relationship Type="http://schemas.openxmlformats.org/officeDocument/2006/relationships/hyperlink" Target="https://www.proquest.com/openview/f42d49a660499af95567e2a1c64731ae/1?pq-origsite=gscholar&amp;cbl=2026366&amp;diss=y" TargetMode="External" Id="R54731aed4e904547" /><Relationship Type="http://schemas.openxmlformats.org/officeDocument/2006/relationships/hyperlink" Target="https://www.proquest.com/openview/f42d49a660499af95567e2a1c64731ae/1?pq-origsite=gscholar&amp;cbl=2026366&amp;diss=y" TargetMode="External" Id="R959f1811055e4c33" /><Relationship Type="http://schemas.openxmlformats.org/officeDocument/2006/relationships/hyperlink" Target="https://polen.itu.edu.tr/entities/publication/6209cb74-7f2e-487e-9e36-7607ebbbcac1" TargetMode="External" Id="R3baf77354b22455f" /><Relationship Type="http://schemas.openxmlformats.org/officeDocument/2006/relationships/hyperlink" Target="https://polen.itu.edu.tr/entities/publication/6209cb74-7f2e-487e-9e36-7607ebbbcac1" TargetMode="External" Id="Rf161d72689d14b5b" /><Relationship Type="http://schemas.openxmlformats.org/officeDocument/2006/relationships/hyperlink" Target="https://polen.itu.edu.tr/entities/publication/6209cb74-7f2e-487e-9e36-7607ebbbcac1" TargetMode="External" Id="R62eb8b7de1914da0" /><Relationship Type="http://schemas.openxmlformats.org/officeDocument/2006/relationships/hyperlink" Target="https://polen.itu.edu.tr/entities/publication/6209cb74-7f2e-487e-9e36-7607ebbbcac1" TargetMode="External" Id="R2a5bfee222704b9a" /><Relationship Type="http://schemas.openxmlformats.org/officeDocument/2006/relationships/hyperlink" Target="https://polen.itu.edu.tr/entities/publication/6209cb74-7f2e-487e-9e36-7607ebbbcac1" TargetMode="External" Id="R180816a5c5044ea3" /><Relationship Type="http://schemas.openxmlformats.org/officeDocument/2006/relationships/hyperlink" Target="https://polen.itu.edu.tr/entities/publication/6209cb74-7f2e-487e-9e36-7607ebbbcac1" TargetMode="External" Id="R3c5943d15665462f" /><Relationship Type="http://schemas.openxmlformats.org/officeDocument/2006/relationships/hyperlink" Target="https://dergipark.org.tr/en/download/article-file/589012" TargetMode="External" Id="R55eb55ab3c494931" /><Relationship Type="http://schemas.openxmlformats.org/officeDocument/2006/relationships/hyperlink" Target="https://dergipark.org.tr/en/download/article-file/589012" TargetMode="External" Id="R636ca850abf241de" /><Relationship Type="http://schemas.openxmlformats.org/officeDocument/2006/relationships/hyperlink" Target="https://dergipark.org.tr/en/download/article-file/589012" TargetMode="External" Id="Rc1ef69d4c8014be0" /><Relationship Type="http://schemas.openxmlformats.org/officeDocument/2006/relationships/hyperlink" Target="https://dergipark.org.tr/en/download/article-file/589012" TargetMode="External" Id="R0097082216124167" /><Relationship Type="http://schemas.openxmlformats.org/officeDocument/2006/relationships/hyperlink" Target="https://dergipark.org.tr/en/download/article-file/589012" TargetMode="External" Id="R850e696c13c34810" /><Relationship Type="http://schemas.openxmlformats.org/officeDocument/2006/relationships/hyperlink" Target="https://dergipark.org.tr/en/download/article-file/589012" TargetMode="External" Id="Rf5f815bd20874ec4" /><Relationship Type="http://schemas.openxmlformats.org/officeDocument/2006/relationships/hyperlink" Target="https://dergipark.org.tr/en/download/article-file/589012" TargetMode="External" Id="Re37f98bbc1704602" /><Relationship Type="http://schemas.openxmlformats.org/officeDocument/2006/relationships/hyperlink" Target="https://www.researchgate.net/profile/Kazim-Turk/publication/314151378_Farkli_Oranlarda_Silis_Dumani_kameli_Kendiliginden_Sikisan_Betonun_Muhendislik_Ozellikleri/links/58b726c1a6fdcc2d14d701bb/Farkli-Oranlarda-Silis-Dumani-kameli-Kendiliginden-Sikisan-Betonun-Muehendislik-Oezellikleri.pdf" TargetMode="External" Id="Rb5aba8866b3d48c8" /><Relationship Type="http://schemas.openxmlformats.org/officeDocument/2006/relationships/hyperlink" Target="https://www.researchgate.net/profile/Kazim-Turk/publication/314151378_Farkli_Oranlarda_Silis_Dumani_kameli_Kendiliginden_Sikisan_Betonun_Muhendislik_Ozellikleri/links/58b726c1a6fdcc2d14d701bb/Farkli-Oranlarda-Silis-Dumani-kameli-Kendiliginden-Sikisan-Betonun-Muehendislik-Oezellikleri.pdf" TargetMode="External" Id="Rd66759e6870445bd" /><Relationship Type="http://schemas.openxmlformats.org/officeDocument/2006/relationships/hyperlink" Target="https://www.researchgate.net/profile/Kazim-Turk/publication/314151378_Farkli_Oranlarda_Silis_Dumani_kameli_Kendiliginden_Sikisan_Betonun_Muhendislik_Ozellikleri/links/58b726c1a6fdcc2d14d701bb/Farkli-Oranlarda-Silis-Dumani-kameli-Kendiliginden-Sikisan-Betonun-Muehendislik-Oezellikleri.pdf" TargetMode="External" Id="Re55f90d43f08491d" /><Relationship Type="http://schemas.openxmlformats.org/officeDocument/2006/relationships/hyperlink" Target="https://www.researchgate.net/profile/Kazim-Turk/publication/314151378_Farkli_Oranlarda_Silis_Dumani_kameli_Kendiliginden_Sikisan_Betonun_Muhendislik_Ozellikleri/links/58b726c1a6fdcc2d14d701bb/Farkli-Oranlarda-Silis-Dumani-kameli-Kendiliginden-Sikisan-Betonun-Muehendislik-Oezellikleri.pdf" TargetMode="External" Id="Rfe483bf721d74785" /><Relationship Type="http://schemas.openxmlformats.org/officeDocument/2006/relationships/hyperlink" Target="https://dergipark.org.tr/en/pub/umagd/article/345668" TargetMode="External" Id="R0036ebb28a344015" /><Relationship Type="http://schemas.openxmlformats.org/officeDocument/2006/relationships/hyperlink" Target="https://dergipark.org.tr/en/pub/umagd/article/345668" TargetMode="External" Id="R492289edb5cd4cb5" /><Relationship Type="http://schemas.openxmlformats.org/officeDocument/2006/relationships/hyperlink" Target="https://dergipark.org.tr/en/pub/umagd/article/345668" TargetMode="External" Id="R00f7d1ce896144b7" /><Relationship Type="http://schemas.openxmlformats.org/officeDocument/2006/relationships/hyperlink" Target="https://dergipark.org.tr/en/pub/umagd/article/345668" TargetMode="External" Id="R827b9eb427554c52" /><Relationship Type="http://schemas.openxmlformats.org/officeDocument/2006/relationships/hyperlink" Target="https://dergipark.org.tr/en/pub/umagd/article/345668" TargetMode="External" Id="Rcb020682624a4241" /><Relationship Type="http://schemas.openxmlformats.org/officeDocument/2006/relationships/hyperlink" Target="https://dergipark.org.tr/en/pub/umagd/article/345668" TargetMode="External" Id="R894d1b4362304c90" /><Relationship Type="http://schemas.openxmlformats.org/officeDocument/2006/relationships/hyperlink" Target="https://dergipark.org.tr/en/pub/umagd/article/345668" TargetMode="External" Id="R12496c2f92604e0e" /><Relationship Type="http://schemas.openxmlformats.org/officeDocument/2006/relationships/hyperlink" Target="https://dergipark.org.tr/en/pub/umagd/article/345668" TargetMode="External" Id="R59b5c2fccdde4450" /><Relationship Type="http://schemas.openxmlformats.org/officeDocument/2006/relationships/hyperlink" Target="https://dergipark.org.tr/en/pub/umagd/article/345668" TargetMode="External" Id="Rdaed4d272cc1480d" /><Relationship Type="http://schemas.openxmlformats.org/officeDocument/2006/relationships/hyperlink" Target="https://dergipark.org.tr/en/pub/umagd/article/345668" TargetMode="External" Id="R25ff2d8ca4504549" /><Relationship Type="http://schemas.openxmlformats.org/officeDocument/2006/relationships/hyperlink" Target="https://dergipark.org.tr/en/pub/umagd/article/345668" TargetMode="External" Id="R160bcd986a644bdd" /><Relationship Type="http://schemas.openxmlformats.org/officeDocument/2006/relationships/hyperlink" Target="https://dergipark.org.tr/en/pub/dumf/issue/43791/474074" TargetMode="External" Id="R2f4c9b1b7bc24cfc" /><Relationship Type="http://schemas.openxmlformats.org/officeDocument/2006/relationships/hyperlink" Target="https://dergipark.org.tr/en/pub/dumf/issue/43791/474074" TargetMode="External" Id="R90e66210805b4937" /><Relationship Type="http://schemas.openxmlformats.org/officeDocument/2006/relationships/hyperlink" Target="https://dergipark.org.tr/en/pub/dumf/issue/43791/474074" TargetMode="External" Id="R16b106b52116442e" /><Relationship Type="http://schemas.openxmlformats.org/officeDocument/2006/relationships/hyperlink" Target="https://dergipark.org.tr/en/pub/dumf/issue/43791/474074" TargetMode="External" Id="R5026901880dd47f2" /><Relationship Type="http://schemas.openxmlformats.org/officeDocument/2006/relationships/hyperlink" Target="https://dergipark.org.tr/en/pub/dumf/issue/43791/474074" TargetMode="External" Id="Rcf589a6141cd49d2" /><Relationship Type="http://schemas.openxmlformats.org/officeDocument/2006/relationships/hyperlink" Target="https://dergipark.org.tr/en/pub/dumf/issue/43791/474074" TargetMode="External" Id="Rd2fd261bb46445b6" /><Relationship Type="http://schemas.openxmlformats.org/officeDocument/2006/relationships/hyperlink" Target="https://polen.itu.edu.tr/entities/publication/bbe9f6d2-deae-4161-a1ac-54d45cee7fd1" TargetMode="External" Id="R306ddfb5911a4e10" /><Relationship Type="http://schemas.openxmlformats.org/officeDocument/2006/relationships/hyperlink" Target="https://polen.itu.edu.tr/entities/publication/bbe9f6d2-deae-4161-a1ac-54d45cee7fd1" TargetMode="External" Id="R55432d3a72244d91" /><Relationship Type="http://schemas.openxmlformats.org/officeDocument/2006/relationships/hyperlink" Target="https://polen.itu.edu.tr/entities/publication/bbe9f6d2-deae-4161-a1ac-54d45cee7fd1" TargetMode="External" Id="R7bd9cfdeb1b448da" /><Relationship Type="http://schemas.openxmlformats.org/officeDocument/2006/relationships/hyperlink" Target="https://polen.itu.edu.tr/entities/publication/bbe9f6d2-deae-4161-a1ac-54d45cee7fd1" TargetMode="External" Id="Rfa740839aa5643f3" /><Relationship Type="http://schemas.openxmlformats.org/officeDocument/2006/relationships/hyperlink" Target="https://polen.itu.edu.tr/entities/publication/bbe9f6d2-deae-4161-a1ac-54d45cee7fd1" TargetMode="External" Id="Re7e142ac9d2e4446" /><Relationship Type="http://schemas.openxmlformats.org/officeDocument/2006/relationships/hyperlink" Target="https://polen.itu.edu.tr/entities/publication/bbe9f6d2-deae-4161-a1ac-54d45cee7fd1" TargetMode="External" Id="R287b1ab5a77b452d" /><Relationship Type="http://schemas.openxmlformats.org/officeDocument/2006/relationships/hyperlink" Target="https://www.academia.edu/download/55620882/D5.pdf" TargetMode="External" Id="R787d045324e6425c" /><Relationship Type="http://schemas.openxmlformats.org/officeDocument/2006/relationships/hyperlink" Target="https://www.academia.edu/download/55620882/D5.pdf" TargetMode="External" Id="Rcf7ac55bad37488a" /><Relationship Type="http://schemas.openxmlformats.org/officeDocument/2006/relationships/hyperlink" Target="https://www.academia.edu/download/55620882/D5.pdf" TargetMode="External" Id="Raa461728b1254da9" /><Relationship Type="http://schemas.openxmlformats.org/officeDocument/2006/relationships/hyperlink" Target="https://www.academia.edu/download/55620882/D5.pdf" TargetMode="External" Id="R0f8b56d13f184a0d" /><Relationship Type="http://schemas.openxmlformats.org/officeDocument/2006/relationships/hyperlink" Target="https://search.proquest.com/openview/e4b05bd03bda0bebfc80232d533d3f42/1?pq-origsite=gscholar&amp;cbl=2026366&amp;diss=y" TargetMode="External" Id="Re639e95e6d8f4c7f" /><Relationship Type="http://schemas.openxmlformats.org/officeDocument/2006/relationships/hyperlink" Target="https://search.proquest.com/openview/e4b05bd03bda0bebfc80232d533d3f42/1?pq-origsite=gscholar&amp;cbl=2026366&amp;diss=y" TargetMode="External" Id="R1fb3b9d066fe4fe9" /><Relationship Type="http://schemas.openxmlformats.org/officeDocument/2006/relationships/hyperlink" Target="https://search.proquest.com/openview/e4b05bd03bda0bebfc80232d533d3f42/1?pq-origsite=gscholar&amp;cbl=2026366&amp;diss=y" TargetMode="External" Id="Rcad6f224cc654edc" /><Relationship Type="http://schemas.openxmlformats.org/officeDocument/2006/relationships/hyperlink" Target="https://polen.itu.edu.tr/entities/publication/3b093a59-5b02-4679-8410-4373a417bf30" TargetMode="External" Id="Rca1d22db8d424bdf" /><Relationship Type="http://schemas.openxmlformats.org/officeDocument/2006/relationships/hyperlink" Target="https://polen.itu.edu.tr/entities/publication/3b093a59-5b02-4679-8410-4373a417bf30" TargetMode="External" Id="R42a0852683b54707" /><Relationship Type="http://schemas.openxmlformats.org/officeDocument/2006/relationships/hyperlink" Target="https://polen.itu.edu.tr/entities/publication/3b093a59-5b02-4679-8410-4373a417bf30" TargetMode="External" Id="Rdefbf1f5ae1242d4" /><Relationship Type="http://schemas.openxmlformats.org/officeDocument/2006/relationships/hyperlink" Target="https://polen.itu.edu.tr/entities/publication/3b093a59-5b02-4679-8410-4373a417bf30" TargetMode="External" Id="R0e297d933ea74085" /><Relationship Type="http://schemas.openxmlformats.org/officeDocument/2006/relationships/hyperlink" Target="https://www.sciencedirect.com/science/article/pii/S0958946502000586?casa_token=pcgIci37OYIAAAAA:QSVhoEXzwta2ZJeqEm1UPyy41SvnT8DWWF9MqozHRwrzyOTa0tjSeSwIc7fO1bNywmLUz_OZtuk" TargetMode="External" Id="Re13742ae29b94dd5" /><Relationship Type="http://schemas.openxmlformats.org/officeDocument/2006/relationships/hyperlink" Target="https://www.sciencedirect.com/science/article/pii/S0958946502000586?casa_token=pcgIci37OYIAAAAA:QSVhoEXzwta2ZJeqEm1UPyy41SvnT8DWWF9MqozHRwrzyOTa0tjSeSwIc7fO1bNywmLUz_OZtuk" TargetMode="External" Id="Rc8c05a0f5b9841b8" /><Relationship Type="http://schemas.openxmlformats.org/officeDocument/2006/relationships/hyperlink" Target="https://www.sciencedirect.com/science/article/pii/S0958946502000586?casa_token=pcgIci37OYIAAAAA:QSVhoEXzwta2ZJeqEm1UPyy41SvnT8DWWF9MqozHRwrzyOTa0tjSeSwIc7fO1bNywmLUz_OZtuk" TargetMode="External" Id="R86694e46ed614fb1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e2461f3798ff4dd2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c7f37714d8ee401d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422da72b450c412d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db1ed5e5571143d9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dde36136279742b0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2b173a97ae04453c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96b76acdbaea474e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568e5e3aae6348c0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54a92b18bf6e40a2" /><Relationship Type="http://schemas.openxmlformats.org/officeDocument/2006/relationships/hyperlink" Target="https://www.sciencedirect.com/science/article/pii/S0958946503000179?casa_token=pUhZ8WSQjWwAAAAA:XGvx69YvFEmsmu5QTVSJKwuM6QQQiZW0yEs3m3RofLVLoRb-F061SZWrQ6eA1iWiIwtRsHhuIbs" TargetMode="External" Id="R2a725638e137432b" /><Relationship Type="http://schemas.openxmlformats.org/officeDocument/2006/relationships/hyperlink" Target="https://www.sciencedirect.com/science/article/pii/S0958946503000179?casa_token=pUhZ8WSQjWwAAAAA:XGvx69YvFEmsmu5QTVSJKwuM6QQQiZW0yEs3m3RofLVLoRb-F061SZWrQ6eA1iWiIwtRsHhuIbs" TargetMode="External" Id="Re4a9d4a520264493" /><Relationship Type="http://schemas.openxmlformats.org/officeDocument/2006/relationships/hyperlink" Target="https://www.sciencedirect.com/science/article/pii/S0958946503000179?casa_token=pUhZ8WSQjWwAAAAA:XGvx69YvFEmsmu5QTVSJKwuM6QQQiZW0yEs3m3RofLVLoRb-F061SZWrQ6eA1iWiIwtRsHhuIbs" TargetMode="External" Id="R6b9c9e83c2894b83" /><Relationship Type="http://schemas.openxmlformats.org/officeDocument/2006/relationships/hyperlink" Target="https://www.sciencedirect.com/science/article/pii/S0958946503000179?casa_token=pUhZ8WSQjWwAAAAA:XGvx69YvFEmsmu5QTVSJKwuM6QQQiZW0yEs3m3RofLVLoRb-F061SZWrQ6eA1iWiIwtRsHhuIbs" TargetMode="External" Id="R6d7fcf0f11064615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2f00bb3f7a84401f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6c55a8f0a378430d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aa7cce11daf140c4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59fc40555bf84d60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10ff6ba404574b61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9b9aa2e094dd4468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ae1f2f36a8a940a7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660a01e1e5734ef3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349b7a2199ed4dd0" /><Relationship Type="http://schemas.openxmlformats.org/officeDocument/2006/relationships/hyperlink" Target="https://www.sciencedirect.com/science/article/pii/S0008884698000106?casa_token=j_xQUzlMLL0AAAAA:zQW1oSzhya2_199tqRCgXT7LDwxMjH-JagHEgwDRIRA2rDSVRhqhn2_09JRhy69GQ9Kfvxu0QJk" TargetMode="External" Id="Rabca4847a6c143b7" /><Relationship Type="http://schemas.openxmlformats.org/officeDocument/2006/relationships/hyperlink" Target="https://www.sciencedirect.com/science/article/pii/S0008884698000106?casa_token=j_xQUzlMLL0AAAAA:zQW1oSzhya2_199tqRCgXT7LDwxMjH-JagHEgwDRIRA2rDSVRhqhn2_09JRhy69GQ9Kfvxu0QJk" TargetMode="External" Id="R72cd370636a84c5b" /><Relationship Type="http://schemas.openxmlformats.org/officeDocument/2006/relationships/hyperlink" Target="https://www.sciencedirect.com/science/article/pii/S0008884698000106?casa_token=j_xQUzlMLL0AAAAA:zQW1oSzhya2_199tqRCgXT7LDwxMjH-JagHEgwDRIRA2rDSVRhqhn2_09JRhy69GQ9Kfvxu0QJk" TargetMode="External" Id="R9f6e30581d1d450d" /><Relationship Type="http://schemas.openxmlformats.org/officeDocument/2006/relationships/hyperlink" Target="https://www.sciencedirect.com/science/article/pii/S0008884698000106?casa_token=j_xQUzlMLL0AAAAA:zQW1oSzhya2_199tqRCgXT7LDwxMjH-JagHEgwDRIRA2rDSVRhqhn2_09JRhy69GQ9Kfvxu0QJk" TargetMode="External" Id="Rfc76ccc53a624bf0" /><Relationship Type="http://schemas.openxmlformats.org/officeDocument/2006/relationships/hyperlink" Target="https://www.sciencedirect.com/science/article/pii/S0008884698000106?casa_token=j_xQUzlMLL0AAAAA:zQW1oSzhya2_199tqRCgXT7LDwxMjH-JagHEgwDRIRA2rDSVRhqhn2_09JRhy69GQ9Kfvxu0QJk" TargetMode="External" Id="Rfbb3dcf49ca9475d" /><Relationship Type="http://schemas.openxmlformats.org/officeDocument/2006/relationships/hyperlink" Target="https://www.sciencedirect.com/science/article/pii/S1996681416301213" TargetMode="External" Id="R5ac11d708ede4069" /><Relationship Type="http://schemas.openxmlformats.org/officeDocument/2006/relationships/hyperlink" Target="https://www.sciencedirect.com/science/article/pii/S1996681416301213" TargetMode="External" Id="Re2d4a42e61d04ca4" /><Relationship Type="http://schemas.openxmlformats.org/officeDocument/2006/relationships/hyperlink" Target="https://www.sciencedirect.com/science/article/pii/S1996681416301213" TargetMode="External" Id="Rb7311b1d041f468f" /><Relationship Type="http://schemas.openxmlformats.org/officeDocument/2006/relationships/hyperlink" Target="https://www.sciencedirect.com/science/article/pii/S1996681416301213" TargetMode="External" Id="R40125b8bad2c4810" /><Relationship Type="http://schemas.openxmlformats.org/officeDocument/2006/relationships/hyperlink" Target="https://www.sciencedirect.com/science/article/pii/S1996681416301213" TargetMode="External" Id="R0613713040d14ac7" /><Relationship Type="http://schemas.openxmlformats.org/officeDocument/2006/relationships/hyperlink" Target="https://sciendo.com/2/v2/download/article/10.1515/sspjce-2017-0001.pdf" TargetMode="External" Id="R4e5b7862b2e544d8" /><Relationship Type="http://schemas.openxmlformats.org/officeDocument/2006/relationships/hyperlink" Target="https://sciendo.com/2/v2/download/article/10.1515/sspjce-2017-0001.pdf" TargetMode="External" Id="Re04f72a153174d5e" /><Relationship Type="http://schemas.openxmlformats.org/officeDocument/2006/relationships/hyperlink" Target="https://sciendo.com/2/v2/download/article/10.1515/sspjce-2017-0001.pdf" TargetMode="External" Id="R95d8916e551844d4" /><Relationship Type="http://schemas.openxmlformats.org/officeDocument/2006/relationships/hyperlink" Target="https://sciendo.com/2/v2/download/article/10.1515/sspjce-2017-0001.pdf" TargetMode="External" Id="Rc03acb1b0a7c4ffa" /><Relationship Type="http://schemas.openxmlformats.org/officeDocument/2006/relationships/hyperlink" Target="https://sciendo.com/2/v2/download/article/10.1515/sspjce-2017-0001.pdf" TargetMode="External" Id="R27b9000e834c4f57" /><Relationship Type="http://schemas.openxmlformats.org/officeDocument/2006/relationships/hyperlink" Target="https://dergipark.org.tr/tr/pub/sujest/article/247889" TargetMode="External" Id="R52a1bb3b7809477c" /><Relationship Type="http://schemas.openxmlformats.org/officeDocument/2006/relationships/hyperlink" Target="https://dergipark.org.tr/tr/pub/sujest/article/247889" TargetMode="External" Id="R3db9f90e13c74d4e" /><Relationship Type="http://schemas.openxmlformats.org/officeDocument/2006/relationships/hyperlink" Target="https://dergipark.org.tr/tr/pub/sujest/article/247889" TargetMode="External" Id="R78f73791df4f43f1" /><Relationship Type="http://schemas.openxmlformats.org/officeDocument/2006/relationships/hyperlink" Target="https://dergipark.org.tr/tr/pub/sujest/article/247889" TargetMode="External" Id="R590c26f9e6824736" /><Relationship Type="http://schemas.openxmlformats.org/officeDocument/2006/relationships/hyperlink" Target="https://dergipark.org.tr/tr/pub/sujest/article/247889" TargetMode="External" Id="R23168a5304024b0a" /><Relationship Type="http://schemas.openxmlformats.org/officeDocument/2006/relationships/hyperlink" Target="https://dergipark.org.tr/tr/pub/sujest/article/247889" TargetMode="External" Id="R26d082cc6ee54cf7" /><Relationship Type="http://schemas.openxmlformats.org/officeDocument/2006/relationships/hyperlink" Target="https://dergipark.org.tr/tr/pub/sujest/article/247889" TargetMode="External" Id="R06de25678a004e3d" /><Relationship Type="http://schemas.openxmlformats.org/officeDocument/2006/relationships/hyperlink" Target="https://dergipark.org.tr/tr/pub/sujest/article/247889" TargetMode="External" Id="Rcb90b88cfc0c41f9" /><Relationship Type="http://schemas.openxmlformats.org/officeDocument/2006/relationships/hyperlink" Target="https://tez.yok.gov.tr/UlusalTezMerkezi/tezDetay.jsp?id=LWiOpHMC88YDD3BPYvRz_w&amp;no=yc4K241HqfFA--hoHnsl8g" TargetMode="External" Id="R11e38f4246fa4b16" /><Relationship Type="http://schemas.openxmlformats.org/officeDocument/2006/relationships/hyperlink" Target="https://tez.yok.gov.tr/UlusalTezMerkezi/tezDetay.jsp?id=LWiOpHMC88YDD3BPYvRz_w&amp;no=yc4K241HqfFA--hoHnsl8g" TargetMode="External" Id="R4546732f77d04f9a" /><Relationship Type="http://schemas.openxmlformats.org/officeDocument/2006/relationships/hyperlink" Target="https://tez.yok.gov.tr/UlusalTezMerkezi/tezDetay.jsp?id=LWiOpHMC88YDD3BPYvRz_w&amp;no=yc4K241HqfFA--hoHnsl8g" TargetMode="External" Id="R1a05890bdbb54064" /><Relationship Type="http://schemas.openxmlformats.org/officeDocument/2006/relationships/hyperlink" Target="https://tez.yok.gov.tr/UlusalTezMerkezi/tezDetay.jsp?id=LWiOpHMC88YDD3BPYvRz_w&amp;no=yc4K241HqfFA--hoHnsl8g" TargetMode="External" Id="R4c5bdaafc2f047a0" /><Relationship Type="http://schemas.openxmlformats.org/officeDocument/2006/relationships/hyperlink" Target="https://tez.yok.gov.tr/UlusalTezMerkezi/tezDetay.jsp?id=LWiOpHMC88YDD3BPYvRz_w&amp;no=yc4K241HqfFA--hoHnsl8g" TargetMode="External" Id="Rf470ce699b694179" /><Relationship Type="http://schemas.openxmlformats.org/officeDocument/2006/relationships/hyperlink" Target="https://dergipark.org.tr/tr/pub/bjesr/article/1050236" TargetMode="External" Id="R0bacdd8093124be0" /><Relationship Type="http://schemas.openxmlformats.org/officeDocument/2006/relationships/hyperlink" Target="https://dergipark.org.tr/tr/pub/bjesr/article/1050236" TargetMode="External" Id="Rb138f883baac424c" /><Relationship Type="http://schemas.openxmlformats.org/officeDocument/2006/relationships/hyperlink" Target="https://dergipark.org.tr/tr/pub/bjesr/article/1050236" TargetMode="External" Id="R8c0198db5feb4222" /><Relationship Type="http://schemas.openxmlformats.org/officeDocument/2006/relationships/hyperlink" Target="https://dergipark.org.tr/tr/pub/bjesr/article/1050236" TargetMode="External" Id="Rc751cc11610b40ad" /><Relationship Type="http://schemas.openxmlformats.org/officeDocument/2006/relationships/hyperlink" Target="https://dergipark.org.tr/tr/pub/bjesr/article/1050236" TargetMode="External" Id="R9302eb1dc3194884" /><Relationship Type="http://schemas.openxmlformats.org/officeDocument/2006/relationships/hyperlink" Target="https://dergipark.org.tr/tr/pub/bjesr/article/1050236" TargetMode="External" Id="R0d85fe0d310847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ab0a3bf3f694db6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36.880001068115234" customWidth="1"/>
    <x:col min="2" max="2" width="7.25" customWidth="1"/>
    <x:col min="3" max="3" width="8.630000114440918" customWidth="1"/>
    <x:col min="4" max="4" width="23.25" customWidth="1"/>
    <x:col min="5" max="5" width="10.380000114440918" customWidth="1"/>
    <x:col min="6" max="7" width="19.75" customWidth="1"/>
    <x:col min="8" max="8" width="17.25" customWidth="1"/>
    <x:col min="9" max="9" width="26.75" customWidth="1"/>
    <x:col min="10" max="10" width="10.25" customWidth="1"/>
    <x:col min="11" max="11" width="9.880000114440918" customWidth="1"/>
    <x:col min="12" max="12" width="7.5" customWidth="1"/>
    <x:col min="13" max="13" width="25" customWidth="1"/>
    <x:col min="14" max="14" width="17.6299991607666" customWidth="1"/>
    <x:col min="15" max="15" width="20.5" customWidth="1"/>
    <x:col min="16" max="16" width="16.75" customWidth="1"/>
    <x:col min="17" max="17" width="15.380000114440918" customWidth="1"/>
    <x:col min="18" max="18" width="18.3799991607666" customWidth="1"/>
    <x:col min="19" max="19" width="16.3799991607666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2" t="s">
        <x:v>17</x:v>
      </x:c>
      <x:c r="S1" s="2" t="s">
        <x:v>18</x:v>
      </x:c>
      <x:c r="T1" s="2" t="s">
        <x:v>19</x:v>
      </x:c>
    </x:row>
    <x:row r="2">
      <x:c r="A2" s="2" t="s">
        <x:v>20</x:v>
      </x:c>
      <x:c r="B2" s="2" t="s">
        <x:v>21</x:v>
      </x:c>
      <x:c r="C2" s="2" t="s">
        <x:v>22</x:v>
      </x:c>
      <x:c r="D2" s="2" t="s">
        <x:v>23</x:v>
      </x:c>
      <x:c r="E2" s="2" t="s">
        <x:v>24</x:v>
      </x:c>
      <x:c r="F2" s="2" t="s">
        <x:v>24</x:v>
      </x:c>
      <x:c r="G2" s="2" t="s">
        <x:v>25</x:v>
      </x:c>
      <x:c r="H2" s="2" t="s">
        <x:v>26</x:v>
      </x:c>
      <x:c r="I2" s="2" t="s">
        <x:v>24</x:v>
      </x:c>
      <x:c r="J2" s="2" t="s">
        <x:v>24</x:v>
      </x:c>
      <x:c r="K2" s="2" t="s">
        <x:v>24</x:v>
      </x:c>
      <x:c r="L2" s="2" t="s">
        <x:v>27</x:v>
      </x:c>
      <x:c r="M2" s="2" t="s">
        <x:v>24</x:v>
      </x:c>
      <x:c r="N2" s="3">
        <x:v>0.0</x:v>
      </x:c>
      <x:c r="O2" s="3">
        <x:v>0.0</x:v>
      </x:c>
      <x:c r="P2" s="3">
        <x:v>0.0</x:v>
      </x:c>
      <x:c r="Q2" s="3">
        <x:v>0.0</x:v>
      </x:c>
      <x:c r="R2" s="3" t="s">
        <x:v>28</x:v>
      </x:c>
      <x:c r="S2" s="2" t="s">
        <x:v>29</x:v>
      </x:c>
      <x:c r="T2" s="4" t="s">
        <x:v>30</x:v>
      </x:c>
    </x:row>
    <x:row r="3">
      <x:c r="A3" s="2" t="s">
        <x:v>31</x:v>
      </x:c>
      <x:c r="B3" s="2" t="s">
        <x:v>21</x:v>
      </x:c>
      <x:c r="C3" s="3">
        <x:v>0.0</x:v>
      </x:c>
      <x:c r="D3" s="2" t="s">
        <x:v>32</x:v>
      </x:c>
      <x:c r="E3" s="2" t="s">
        <x:v>24</x:v>
      </x:c>
      <x:c r="F3" s="2" t="s">
        <x:v>24</x:v>
      </x:c>
      <x:c r="G3" s="2" t="s">
        <x:v>25</x:v>
      </x:c>
      <x:c r="H3" s="2" t="s">
        <x:v>26</x:v>
      </x:c>
      <x:c r="I3" s="2" t="s">
        <x:v>24</x:v>
      </x:c>
      <x:c r="J3" s="2" t="s">
        <x:v>24</x:v>
      </x:c>
      <x:c r="K3" s="2" t="s">
        <x:v>24</x:v>
      </x:c>
      <x:c r="L3" s="2" t="s">
        <x:v>27</x:v>
      </x:c>
      <x:c r="M3" s="2" t="s">
        <x:v>24</x:v>
      </x:c>
      <x:c r="N3" s="3">
        <x:v>0.0</x:v>
      </x:c>
      <x:c r="O3" s="3">
        <x:v>0.0</x:v>
      </x:c>
      <x:c r="P3" s="3">
        <x:v>0.0</x:v>
      </x:c>
      <x:c r="Q3" s="3">
        <x:v>0.0</x:v>
      </x:c>
      <x:c r="R3" s="3" t="s">
        <x:v>33</x:v>
      </x:c>
      <x:c r="S3" s="2" t="s">
        <x:v>29</x:v>
      </x:c>
      <x:c r="T3" s="5" t="s">
        <x:v>30</x:v>
      </x:c>
    </x:row>
    <x:row r="4">
      <x:c r="A4" s="2" t="s">
        <x:v>34</x:v>
      </x:c>
      <x:c r="B4" s="2" t="s">
        <x:v>21</x:v>
      </x:c>
      <x:c r="C4" s="2" t="s">
        <x:v>35</x:v>
      </x:c>
      <x:c r="D4" s="2" t="s">
        <x:v>35</x:v>
      </x:c>
      <x:c r="E4" s="2" t="s">
        <x:v>24</x:v>
      </x:c>
      <x:c r="F4" s="2" t="s">
        <x:v>24</x:v>
      </x:c>
      <x:c r="G4" s="2" t="s">
        <x:v>25</x:v>
      </x:c>
      <x:c r="H4" s="2" t="s">
        <x:v>26</x:v>
      </x:c>
      <x:c r="I4" s="2" t="s">
        <x:v>24</x:v>
      </x:c>
      <x:c r="J4" s="2" t="s">
        <x:v>24</x:v>
      </x:c>
      <x:c r="K4" s="2" t="s">
        <x:v>24</x:v>
      </x:c>
      <x:c r="L4" s="2" t="s">
        <x:v>27</x:v>
      </x:c>
      <x:c r="M4" s="2" t="s">
        <x:v>24</x:v>
      </x:c>
      <x:c r="N4" s="3">
        <x:v>0.0</x:v>
      </x:c>
      <x:c r="O4" s="3">
        <x:v>0.0</x:v>
      </x:c>
      <x:c r="P4" s="3">
        <x:v>0.0</x:v>
      </x:c>
      <x:c r="Q4" s="3">
        <x:v>0.0</x:v>
      </x:c>
      <x:c r="R4" s="3" t="s">
        <x:v>36</x:v>
      </x:c>
      <x:c r="S4" s="2" t="s">
        <x:v>29</x:v>
      </x:c>
      <x:c r="T4" s="4" t="s">
        <x:v>30</x:v>
      </x:c>
    </x:row>
    <x:row r="5">
      <x:c r="A5" s="2" t="s">
        <x:v>37</x:v>
      </x:c>
      <x:c r="B5" s="2" t="s">
        <x:v>21</x:v>
      </x:c>
      <x:c r="C5" s="2" t="s">
        <x:v>38</x:v>
      </x:c>
      <x:c r="D5" s="2" t="s">
        <x:v>39</x:v>
      </x:c>
      <x:c r="E5" s="2" t="s">
        <x:v>24</x:v>
      </x:c>
      <x:c r="F5" s="2" t="s">
        <x:v>24</x:v>
      </x:c>
      <x:c r="G5" s="2" t="s">
        <x:v>25</x:v>
      </x:c>
      <x:c r="H5" s="2" t="s">
        <x:v>26</x:v>
      </x:c>
      <x:c r="I5" s="2" t="s">
        <x:v>24</x:v>
      </x:c>
      <x:c r="J5" s="2" t="s">
        <x:v>24</x:v>
      </x:c>
      <x:c r="K5" s="2" t="s">
        <x:v>24</x:v>
      </x:c>
      <x:c r="L5" s="2" t="s">
        <x:v>27</x:v>
      </x:c>
      <x:c r="M5" s="2" t="s">
        <x:v>24</x:v>
      </x:c>
      <x:c r="N5" s="3">
        <x:v>0.0</x:v>
      </x:c>
      <x:c r="O5" s="3">
        <x:v>0.0</x:v>
      </x:c>
      <x:c r="P5" s="3">
        <x:v>0.0</x:v>
      </x:c>
      <x:c r="Q5" s="3">
        <x:v>0.0</x:v>
      </x:c>
      <x:c r="R5" s="3" t="s">
        <x:v>40</x:v>
      </x:c>
      <x:c r="S5" s="2" t="s">
        <x:v>29</x:v>
      </x:c>
      <x:c r="T5" s="4" t="s">
        <x:v>30</x:v>
      </x:c>
    </x:row>
    <x:row r="6">
      <x:c r="A6" s="2" t="s">
        <x:v>41</x:v>
      </x:c>
      <x:c r="B6" s="2" t="s">
        <x:v>21</x:v>
      </x:c>
      <x:c r="C6" s="2" t="s">
        <x:v>42</x:v>
      </x:c>
      <x:c r="D6" s="2" t="s">
        <x:v>24</x:v>
      </x:c>
      <x:c r="E6" s="2" t="s">
        <x:v>24</x:v>
      </x:c>
      <x:c r="F6" s="2" t="s">
        <x:v>43</x:v>
      </x:c>
      <x:c r="G6" s="2" t="s">
        <x:v>25</x:v>
      </x:c>
      <x:c r="H6" s="2" t="s">
        <x:v>26</x:v>
      </x:c>
      <x:c r="I6" s="2" t="s">
        <x:v>24</x:v>
      </x:c>
      <x:c r="J6" s="2" t="s">
        <x:v>24</x:v>
      </x:c>
      <x:c r="K6" s="2" t="s">
        <x:v>24</x:v>
      </x:c>
      <x:c r="L6" s="2" t="s">
        <x:v>27</x:v>
      </x:c>
      <x:c r="M6" s="2" t="s">
        <x:v>24</x:v>
      </x:c>
      <x:c r="N6" s="3">
        <x:v>0.0</x:v>
      </x:c>
      <x:c r="O6" s="3">
        <x:v>0.0</x:v>
      </x:c>
      <x:c r="P6" s="3">
        <x:v>0.0</x:v>
      </x:c>
      <x:c r="Q6" s="3">
        <x:v>0.0</x:v>
      </x:c>
      <x:c r="R6" s="3" t="s">
        <x:v>44</x:v>
      </x:c>
      <x:c r="S6" s="2" t="s">
        <x:v>29</x:v>
      </x:c>
      <x:c r="T6" s="5" t="s">
        <x:v>30</x:v>
      </x:c>
    </x:row>
    <x:row r="7">
      <x:c r="A7" s="2" t="s">
        <x:v>45</x:v>
      </x:c>
      <x:c r="B7" s="2" t="s">
        <x:v>46</x:v>
      </x:c>
      <x:c r="C7" s="2" t="s">
        <x:v>24</x:v>
      </x:c>
      <x:c r="D7" s="2" t="s">
        <x:v>24</x:v>
      </x:c>
      <x:c r="E7" s="2" t="s">
        <x:v>24</x:v>
      </x:c>
      <x:c r="F7" s="2" t="s">
        <x:v>24</x:v>
      </x:c>
      <x:c r="G7" s="2" t="s">
        <x:v>47</x:v>
      </x:c>
      <x:c r="H7" s="2" t="s">
        <x:v>48</x:v>
      </x:c>
      <x:c r="I7" s="2" t="s">
        <x:v>24</x:v>
      </x:c>
      <x:c r="J7" s="2" t="s">
        <x:v>24</x:v>
      </x:c>
      <x:c r="K7" s="2" t="s">
        <x:v>24</x:v>
      </x:c>
      <x:c r="L7" s="2" t="s">
        <x:v>49</x:v>
      </x:c>
      <x:c r="M7" s="2" t="s">
        <x:v>50</x:v>
      </x:c>
      <x:c r="N7" s="3">
        <x:v>0.0</x:v>
      </x:c>
      <x:c r="O7" s="3">
        <x:v>0.0</x:v>
      </x:c>
      <x:c r="P7" s="3">
        <x:v>0.0</x:v>
      </x:c>
      <x:c r="Q7" s="3">
        <x:v>0.0</x:v>
      </x:c>
      <x:c r="R7" s="3" t="s">
        <x:v>51</x:v>
      </x:c>
      <x:c r="S7" s="2" t="s">
        <x:v>52</x:v>
      </x:c>
      <x:c r="T7" s="5" t="s">
        <x:v>53</x:v>
      </x:c>
    </x:row>
    <x:row r="8">
      <x:c r="A8" s="2" t="s">
        <x:v>54</x:v>
      </x:c>
      <x:c r="B8" s="2" t="s">
        <x:v>55</x:v>
      </x:c>
      <x:c r="C8" s="2" t="s">
        <x:v>24</x:v>
      </x:c>
      <x:c r="D8" s="2" t="s">
        <x:v>24</x:v>
      </x:c>
      <x:c r="E8" s="2" t="s">
        <x:v>24</x:v>
      </x:c>
      <x:c r="F8" s="2" t="s">
        <x:v>56</x:v>
      </x:c>
      <x:c r="G8" s="2" t="s">
        <x:v>57</x:v>
      </x:c>
      <x:c r="H8" s="2" t="s">
        <x:v>58</x:v>
      </x:c>
      <x:c r="I8" s="2" t="s">
        <x:v>24</x:v>
      </x:c>
      <x:c r="J8" s="2" t="s">
        <x:v>24</x:v>
      </x:c>
      <x:c r="K8" s="2" t="s">
        <x:v>24</x:v>
      </x:c>
      <x:c r="L8" s="2" t="s">
        <x:v>59</x:v>
      </x:c>
      <x:c r="M8" s="2" t="s">
        <x:v>60</x:v>
      </x:c>
      <x:c r="N8" s="3">
        <x:v>0.0</x:v>
      </x:c>
      <x:c r="O8" s="3">
        <x:v>0.0</x:v>
      </x:c>
      <x:c r="P8" s="3">
        <x:v>0.0</x:v>
      </x:c>
      <x:c r="Q8" s="3">
        <x:v>0.0</x:v>
      </x:c>
      <x:c r="R8" s="3" t="s">
        <x:v>61</x:v>
      </x:c>
      <x:c r="S8" s="2" t="s">
        <x:v>52</x:v>
      </x:c>
      <x:c r="T8" s="5" t="s">
        <x:v>53</x:v>
      </x:c>
    </x:row>
    <x:row r="9">
      <x:c r="A9" s="2" t="s">
        <x:v>62</x:v>
      </x:c>
      <x:c r="B9" s="2" t="s">
        <x:v>63</x:v>
      </x:c>
      <x:c r="C9" s="2" t="s">
        <x:v>24</x:v>
      </x:c>
      <x:c r="D9" s="2" t="s">
        <x:v>24</x:v>
      </x:c>
      <x:c r="E9" s="2" t="s">
        <x:v>24</x:v>
      </x:c>
      <x:c r="F9" s="2" t="s">
        <x:v>64</x:v>
      </x:c>
      <x:c r="G9" s="2" t="s">
        <x:v>65</x:v>
      </x:c>
      <x:c r="H9" s="2" t="s">
        <x:v>66</x:v>
      </x:c>
      <x:c r="I9" s="2" t="s">
        <x:v>24</x:v>
      </x:c>
      <x:c r="J9" s="2" t="s">
        <x:v>24</x:v>
      </x:c>
      <x:c r="K9" s="2" t="s">
        <x:v>24</x:v>
      </x:c>
      <x:c r="L9" s="2" t="s">
        <x:v>67</x:v>
      </x:c>
      <x:c r="M9" s="2" t="s">
        <x:v>68</x:v>
      </x:c>
      <x:c r="N9" s="3">
        <x:v>0.0</x:v>
      </x:c>
      <x:c r="O9" s="3">
        <x:v>0.0</x:v>
      </x:c>
      <x:c r="P9" s="3">
        <x:v>0.0</x:v>
      </x:c>
      <x:c r="Q9" s="3">
        <x:v>0.0</x:v>
      </x:c>
      <x:c r="R9" s="3" t="s">
        <x:v>69</x:v>
      </x:c>
      <x:c r="S9" s="2" t="s">
        <x:v>52</x:v>
      </x:c>
      <x:c r="T9" s="5" t="s">
        <x:v>53</x:v>
      </x:c>
    </x:row>
    <x:row r="10">
      <x:c r="A10" s="2" t="s">
        <x:v>70</x:v>
      </x:c>
      <x:c r="B10" s="2" t="s">
        <x:v>71</x:v>
      </x:c>
      <x:c r="C10" s="2" t="s">
        <x:v>24</x:v>
      </x:c>
      <x:c r="D10" s="2" t="s">
        <x:v>24</x:v>
      </x:c>
      <x:c r="E10" s="2" t="s">
        <x:v>24</x:v>
      </x:c>
      <x:c r="F10" s="2" t="s">
        <x:v>24</x:v>
      </x:c>
      <x:c r="G10" s="2" t="s">
        <x:v>72</x:v>
      </x:c>
      <x:c r="H10" s="2" t="s">
        <x:v>73</x:v>
      </x:c>
      <x:c r="I10" s="2" t="s">
        <x:v>24</x:v>
      </x:c>
      <x:c r="J10" s="2" t="s">
        <x:v>24</x:v>
      </x:c>
      <x:c r="K10" s="2" t="s">
        <x:v>24</x:v>
      </x:c>
      <x:c r="L10" s="2" t="s">
        <x:v>74</x:v>
      </x:c>
      <x:c r="M10" s="2" t="s">
        <x:v>75</x:v>
      </x:c>
      <x:c r="N10" s="3">
        <x:v>0.0</x:v>
      </x:c>
      <x:c r="O10" s="3">
        <x:v>0.0</x:v>
      </x:c>
      <x:c r="P10" s="3">
        <x:v>0.0</x:v>
      </x:c>
      <x:c r="Q10" s="3">
        <x:v>0.0</x:v>
      </x:c>
      <x:c r="R10" s="3" t="s">
        <x:v>76</x:v>
      </x:c>
      <x:c r="S10" s="2" t="s">
        <x:v>52</x:v>
      </x:c>
      <x:c r="T10" s="5" t="s">
        <x:v>53</x:v>
      </x:c>
    </x:row>
    <x:row r="11">
      <x:c r="A11" s="2" t="s">
        <x:v>77</x:v>
      </x:c>
      <x:c r="B11" s="2" t="s">
        <x:v>78</x:v>
      </x:c>
      <x:c r="C11" s="2" t="s">
        <x:v>24</x:v>
      </x:c>
      <x:c r="D11" s="2" t="s">
        <x:v>24</x:v>
      </x:c>
      <x:c r="E11" s="2" t="s">
        <x:v>24</x:v>
      </x:c>
      <x:c r="F11" s="2" t="s">
        <x:v>79</x:v>
      </x:c>
      <x:c r="G11" s="2" t="s">
        <x:v>80</x:v>
      </x:c>
      <x:c r="H11" s="2" t="s">
        <x:v>81</x:v>
      </x:c>
      <x:c r="I11" s="2" t="s">
        <x:v>24</x:v>
      </x:c>
      <x:c r="J11" s="2" t="s">
        <x:v>24</x:v>
      </x:c>
      <x:c r="K11" s="2" t="s">
        <x:v>24</x:v>
      </x:c>
      <x:c r="L11" s="2" t="s">
        <x:v>27</x:v>
      </x:c>
      <x:c r="M11" s="2" t="s">
        <x:v>82</x:v>
      </x:c>
      <x:c r="N11" s="3">
        <x:v>0.0</x:v>
      </x:c>
      <x:c r="O11" s="3">
        <x:v>0.0</x:v>
      </x:c>
      <x:c r="P11" s="3">
        <x:v>0.0</x:v>
      </x:c>
      <x:c r="Q11" s="3">
        <x:v>0.0</x:v>
      </x:c>
      <x:c r="R11" s="3" t="s">
        <x:v>83</x:v>
      </x:c>
      <x:c r="S11" s="2" t="s">
        <x:v>52</x:v>
      </x:c>
      <x:c r="T11" s="5" t="s">
        <x:v>53</x:v>
      </x:c>
    </x:row>
    <x:row r="12">
      <x:c r="A12" s="2" t="s">
        <x:v>84</x:v>
      </x:c>
      <x:c r="B12" s="2" t="s">
        <x:v>85</x:v>
      </x:c>
      <x:c r="C12" s="2" t="s">
        <x:v>24</x:v>
      </x:c>
      <x:c r="D12" s="2" t="s">
        <x:v>24</x:v>
      </x:c>
      <x:c r="E12" s="2" t="s">
        <x:v>24</x:v>
      </x:c>
      <x:c r="F12" s="2" t="s">
        <x:v>86</x:v>
      </x:c>
      <x:c r="G12" s="2" t="s">
        <x:v>87</x:v>
      </x:c>
      <x:c r="H12" s="2" t="s">
        <x:v>88</x:v>
      </x:c>
      <x:c r="I12" s="2" t="s">
        <x:v>24</x:v>
      </x:c>
      <x:c r="J12" s="2" t="s">
        <x:v>24</x:v>
      </x:c>
      <x:c r="K12" s="2" t="s">
        <x:v>24</x:v>
      </x:c>
      <x:c r="L12" s="2" t="s">
        <x:v>27</x:v>
      </x:c>
      <x:c r="M12" s="2" t="s">
        <x:v>89</x:v>
      </x:c>
      <x:c r="N12" s="3">
        <x:v>0.0</x:v>
      </x:c>
      <x:c r="O12" s="3">
        <x:v>0.0</x:v>
      </x:c>
      <x:c r="P12" s="3">
        <x:v>0.0</x:v>
      </x:c>
      <x:c r="Q12" s="3">
        <x:v>0.0</x:v>
      </x:c>
      <x:c r="R12" s="3" t="s">
        <x:v>90</x:v>
      </x:c>
      <x:c r="S12" s="2" t="s">
        <x:v>52</x:v>
      </x:c>
      <x:c r="T12" s="5" t="s">
        <x:v>53</x:v>
      </x:c>
    </x:row>
    <x:row r="13">
      <x:c r="A13" s="2" t="s">
        <x:v>91</x:v>
      </x:c>
      <x:c r="B13" s="2" t="s">
        <x:v>92</x:v>
      </x:c>
      <x:c r="C13" s="2" t="s">
        <x:v>24</x:v>
      </x:c>
      <x:c r="D13" s="2" t="s">
        <x:v>24</x:v>
      </x:c>
      <x:c r="E13" s="2" t="s">
        <x:v>24</x:v>
      </x:c>
      <x:c r="F13" s="2" t="s">
        <x:v>24</x:v>
      </x:c>
      <x:c r="G13" s="2" t="s">
        <x:v>93</x:v>
      </x:c>
      <x:c r="H13" s="2" t="s">
        <x:v>94</x:v>
      </x:c>
      <x:c r="I13" s="2" t="s">
        <x:v>24</x:v>
      </x:c>
      <x:c r="J13" s="2" t="s">
        <x:v>24</x:v>
      </x:c>
      <x:c r="K13" s="2" t="s">
        <x:v>24</x:v>
      </x:c>
      <x:c r="L13" s="2" t="s">
        <x:v>95</x:v>
      </x:c>
      <x:c r="M13" s="2" t="s">
        <x:v>96</x:v>
      </x:c>
      <x:c r="N13" s="3">
        <x:v>0.0</x:v>
      </x:c>
      <x:c r="O13" s="3">
        <x:v>0.0</x:v>
      </x:c>
      <x:c r="P13" s="3">
        <x:v>0.0</x:v>
      </x:c>
      <x:c r="Q13" s="3">
        <x:v>0.0</x:v>
      </x:c>
      <x:c r="R13" s="3" t="s">
        <x:v>97</x:v>
      </x:c>
      <x:c r="S13" s="2" t="s">
        <x:v>98</x:v>
      </x:c>
      <x:c r="T13" s="5" t="s">
        <x:v>99</x:v>
      </x:c>
    </x:row>
    <x:row r="14">
      <x:c r="A14" s="2" t="s">
        <x:v>100</x:v>
      </x:c>
      <x:c r="B14" s="2" t="s">
        <x:v>101</x:v>
      </x:c>
      <x:c r="C14" s="2" t="s">
        <x:v>24</x:v>
      </x:c>
      <x:c r="D14" s="2" t="s">
        <x:v>24</x:v>
      </x:c>
      <x:c r="E14" s="2" t="s">
        <x:v>102</x:v>
      </x:c>
      <x:c r="F14" s="2" t="s">
        <x:v>24</x:v>
      </x:c>
      <x:c r="G14" s="2" t="s">
        <x:v>103</x:v>
      </x:c>
      <x:c r="H14" s="2" t="s">
        <x:v>104</x:v>
      </x:c>
      <x:c r="I14" s="2" t="s">
        <x:v>24</x:v>
      </x:c>
      <x:c r="J14" s="2" t="s">
        <x:v>24</x:v>
      </x:c>
      <x:c r="K14" s="2" t="s">
        <x:v>24</x:v>
      </x:c>
      <x:c r="L14" s="2" t="s">
        <x:v>105</x:v>
      </x:c>
      <x:c r="M14" s="2" t="s">
        <x:v>96</x:v>
      </x:c>
      <x:c r="N14" s="3">
        <x:v>0.0</x:v>
      </x:c>
      <x:c r="O14" s="3">
        <x:v>0.0</x:v>
      </x:c>
      <x:c r="P14" s="3">
        <x:v>0.0</x:v>
      </x:c>
      <x:c r="Q14" s="3">
        <x:v>0.0</x:v>
      </x:c>
      <x:c r="R14" s="3" t="s">
        <x:v>106</x:v>
      </x:c>
      <x:c r="S14" s="2" t="s">
        <x:v>98</x:v>
      </x:c>
      <x:c r="T14" s="5" t="s">
        <x:v>99</x:v>
      </x:c>
    </x:row>
    <x:row r="15">
      <x:c r="A15" s="2" t="s">
        <x:v>107</x:v>
      </x:c>
      <x:c r="B15" s="2" t="s">
        <x:v>108</x:v>
      </x:c>
      <x:c r="C15" s="2" t="s">
        <x:v>24</x:v>
      </x:c>
      <x:c r="D15" s="2" t="s">
        <x:v>24</x:v>
      </x:c>
      <x:c r="E15" s="2" t="s">
        <x:v>109</x:v>
      </x:c>
      <x:c r="F15" s="2" t="s">
        <x:v>24</x:v>
      </x:c>
      <x:c r="G15" s="2" t="s">
        <x:v>110</x:v>
      </x:c>
      <x:c r="H15" s="2" t="s">
        <x:v>111</x:v>
      </x:c>
      <x:c r="I15" s="2" t="s">
        <x:v>24</x:v>
      </x:c>
      <x:c r="J15" s="2" t="s">
        <x:v>24</x:v>
      </x:c>
      <x:c r="K15" s="2" t="s">
        <x:v>24</x:v>
      </x:c>
      <x:c r="L15" s="2" t="s">
        <x:v>105</x:v>
      </x:c>
      <x:c r="M15" s="2" t="s">
        <x:v>112</x:v>
      </x:c>
      <x:c r="N15" s="3">
        <x:v>0.0</x:v>
      </x:c>
      <x:c r="O15" s="3">
        <x:v>0.0</x:v>
      </x:c>
      <x:c r="P15" s="3">
        <x:v>0.0</x:v>
      </x:c>
      <x:c r="Q15" s="3">
        <x:v>0.0</x:v>
      </x:c>
      <x:c r="R15" s="3" t="s">
        <x:v>113</x:v>
      </x:c>
      <x:c r="S15" s="2" t="s">
        <x:v>98</x:v>
      </x:c>
      <x:c r="T15" s="5" t="s">
        <x:v>99</x:v>
      </x:c>
    </x:row>
    <x:row r="16">
      <x:c r="A16" s="2" t="s">
        <x:v>114</x:v>
      </x:c>
      <x:c r="B16" s="6" t="s">
        <x:v>115</x:v>
      </x:c>
      <x:c r="C16" s="2" t="s">
        <x:v>24</x:v>
      </x:c>
      <x:c r="D16" s="2" t="s">
        <x:v>24</x:v>
      </x:c>
      <x:c r="E16" s="2" t="s">
        <x:v>116</x:v>
      </x:c>
      <x:c r="F16" s="2" t="s">
        <x:v>24</x:v>
      </x:c>
      <x:c r="G16" s="2" t="s">
        <x:v>81</x:v>
      </x:c>
      <x:c r="H16" s="2" t="s">
        <x:v>117</x:v>
      </x:c>
      <x:c r="I16" s="2" t="s">
        <x:v>24</x:v>
      </x:c>
      <x:c r="J16" s="2" t="s">
        <x:v>24</x:v>
      </x:c>
      <x:c r="K16" s="2" t="s">
        <x:v>24</x:v>
      </x:c>
      <x:c r="L16" s="2" t="s">
        <x:v>105</x:v>
      </x:c>
      <x:c r="M16" s="2" t="s">
        <x:v>118</x:v>
      </x:c>
      <x:c r="N16" s="3">
        <x:v>0.0</x:v>
      </x:c>
      <x:c r="O16" s="3">
        <x:v>0.0</x:v>
      </x:c>
      <x:c r="P16" s="3">
        <x:v>0.0</x:v>
      </x:c>
      <x:c r="Q16" s="3">
        <x:v>0.0</x:v>
      </x:c>
      <x:c r="R16" s="3" t="s">
        <x:v>119</x:v>
      </x:c>
      <x:c r="S16" s="2" t="s">
        <x:v>98</x:v>
      </x:c>
      <x:c r="T16" s="5" t="s">
        <x:v>99</x:v>
      </x:c>
    </x:row>
    <x:row r="17">
      <x:c r="A17" s="2" t="s">
        <x:v>120</x:v>
      </x:c>
      <x:c r="B17" s="6" t="s">
        <x:v>121</x:v>
      </x:c>
      <x:c r="C17" s="2" t="s">
        <x:v>122</x:v>
      </x:c>
      <x:c r="D17" s="2" t="s">
        <x:v>24</x:v>
      </x:c>
      <x:c r="E17" s="2" t="s">
        <x:v>24</x:v>
      </x:c>
      <x:c r="F17" s="2" t="s">
        <x:v>24</x:v>
      </x:c>
      <x:c r="G17" s="2" t="s">
        <x:v>123</x:v>
      </x:c>
      <x:c r="H17" s="2" t="s">
        <x:v>124</x:v>
      </x:c>
      <x:c r="I17" s="2" t="s">
        <x:v>24</x:v>
      </x:c>
      <x:c r="J17" s="2" t="s">
        <x:v>24</x:v>
      </x:c>
      <x:c r="K17" s="2" t="s">
        <x:v>24</x:v>
      </x:c>
      <x:c r="L17" s="2" t="s">
        <x:v>105</x:v>
      </x:c>
      <x:c r="M17" s="2" t="s">
        <x:v>125</x:v>
      </x:c>
      <x:c r="N17" s="3">
        <x:v>0.0</x:v>
      </x:c>
      <x:c r="O17" s="3">
        <x:v>0.0</x:v>
      </x:c>
      <x:c r="P17" s="3">
        <x:v>0.0</x:v>
      </x:c>
      <x:c r="Q17" s="3">
        <x:v>0.0</x:v>
      </x:c>
      <x:c r="R17" s="3" t="s">
        <x:v>126</x:v>
      </x:c>
      <x:c r="S17" s="2" t="s">
        <x:v>98</x:v>
      </x:c>
      <x:c r="T17" s="5" t="s">
        <x:v>99</x:v>
      </x:c>
    </x:row>
    <x:row r="18">
      <x:c r="A18" s="2" t="s">
        <x:v>127</x:v>
      </x:c>
      <x:c r="B18" s="6" t="s">
        <x:v>128</x:v>
      </x:c>
      <x:c r="C18" s="2" t="s">
        <x:v>129</x:v>
      </x:c>
      <x:c r="D18" s="2" t="s">
        <x:v>24</x:v>
      </x:c>
      <x:c r="E18" s="2" t="s">
        <x:v>24</x:v>
      </x:c>
      <x:c r="F18" s="2" t="s">
        <x:v>24</x:v>
      </x:c>
      <x:c r="G18" s="2" t="s">
        <x:v>130</x:v>
      </x:c>
      <x:c r="H18" s="2" t="s">
        <x:v>131</x:v>
      </x:c>
      <x:c r="I18" s="2" t="s">
        <x:v>24</x:v>
      </x:c>
      <x:c r="J18" s="2" t="s">
        <x:v>24</x:v>
      </x:c>
      <x:c r="K18" s="2" t="s">
        <x:v>24</x:v>
      </x:c>
      <x:c r="L18" s="2" t="s">
        <x:v>105</x:v>
      </x:c>
      <x:c r="M18" s="2" t="s">
        <x:v>125</x:v>
      </x:c>
      <x:c r="N18" s="3">
        <x:v>0.0</x:v>
      </x:c>
      <x:c r="O18" s="3">
        <x:v>0.0</x:v>
      </x:c>
      <x:c r="P18" s="3">
        <x:v>0.0</x:v>
      </x:c>
      <x:c r="Q18" s="3">
        <x:v>0.0</x:v>
      </x:c>
      <x:c r="R18" s="3" t="s">
        <x:v>132</x:v>
      </x:c>
      <x:c r="S18" s="2" t="s">
        <x:v>98</x:v>
      </x:c>
      <x:c r="T18" s="5" t="s">
        <x:v>99</x:v>
      </x:c>
    </x:row>
    <x:row r="19">
      <x:c r="A19" s="2" t="s">
        <x:v>133</x:v>
      </x:c>
      <x:c r="B19" s="6" t="s">
        <x:v>134</x:v>
      </x:c>
      <x:c r="C19" s="2" t="s">
        <x:v>135</x:v>
      </x:c>
      <x:c r="D19" s="2" t="s">
        <x:v>24</x:v>
      </x:c>
      <x:c r="E19" s="2" t="s">
        <x:v>24</x:v>
      </x:c>
      <x:c r="F19" s="2" t="s">
        <x:v>24</x:v>
      </x:c>
      <x:c r="G19" s="2" t="s">
        <x:v>136</x:v>
      </x:c>
      <x:c r="H19" s="2" t="s">
        <x:v>137</x:v>
      </x:c>
      <x:c r="I19" s="2" t="s">
        <x:v>24</x:v>
      </x:c>
      <x:c r="J19" s="2" t="s">
        <x:v>24</x:v>
      </x:c>
      <x:c r="K19" s="2" t="s">
        <x:v>24</x:v>
      </x:c>
      <x:c r="L19" s="2" t="s">
        <x:v>105</x:v>
      </x:c>
      <x:c r="M19" s="2" t="s">
        <x:v>125</x:v>
      </x:c>
      <x:c r="N19" s="3">
        <x:v>0.0</x:v>
      </x:c>
      <x:c r="O19" s="3">
        <x:v>0.0</x:v>
      </x:c>
      <x:c r="P19" s="3">
        <x:v>0.0</x:v>
      </x:c>
      <x:c r="Q19" s="3">
        <x:v>0.0</x:v>
      </x:c>
      <x:c r="R19" s="3" t="s">
        <x:v>138</x:v>
      </x:c>
      <x:c r="S19" s="2" t="s">
        <x:v>98</x:v>
      </x:c>
      <x:c r="T19" s="5" t="s">
        <x:v>99</x:v>
      </x:c>
    </x:row>
    <x:row r="20">
      <x:c r="A20" s="2" t="s">
        <x:v>139</x:v>
      </x:c>
      <x:c r="B20" s="6" t="s">
        <x:v>140</x:v>
      </x:c>
      <x:c r="C20" s="2" t="s">
        <x:v>24</x:v>
      </x:c>
      <x:c r="D20" s="2" t="s">
        <x:v>24</x:v>
      </x:c>
      <x:c r="E20" s="2" t="s">
        <x:v>141</x:v>
      </x:c>
      <x:c r="F20" s="2" t="s">
        <x:v>24</x:v>
      </x:c>
      <x:c r="G20" s="2" t="s">
        <x:v>142</x:v>
      </x:c>
      <x:c r="H20" s="2" t="s">
        <x:v>143</x:v>
      </x:c>
      <x:c r="I20" s="2" t="s">
        <x:v>24</x:v>
      </x:c>
      <x:c r="J20" s="2" t="s">
        <x:v>24</x:v>
      </x:c>
      <x:c r="K20" s="2" t="s">
        <x:v>24</x:v>
      </x:c>
      <x:c r="L20" s="2" t="s">
        <x:v>59</x:v>
      </x:c>
      <x:c r="M20" s="2" t="s">
        <x:v>144</x:v>
      </x:c>
      <x:c r="N20" s="3">
        <x:v>0.0</x:v>
      </x:c>
      <x:c r="O20" s="3">
        <x:v>0.0</x:v>
      </x:c>
      <x:c r="P20" s="3">
        <x:v>0.0</x:v>
      </x:c>
      <x:c r="Q20" s="3">
        <x:v>0.0</x:v>
      </x:c>
      <x:c r="R20" s="3" t="s">
        <x:v>145</x:v>
      </x:c>
      <x:c r="S20" s="2" t="s">
        <x:v>146</x:v>
      </x:c>
      <x:c r="T20" s="5" t="s">
        <x:v>147</x:v>
      </x:c>
    </x:row>
    <x:row r="21">
      <x:c r="A21" s="2" t="s">
        <x:v>148</x:v>
      </x:c>
      <x:c r="B21" s="6" t="s">
        <x:v>149</x:v>
      </x:c>
      <x:c r="C21" s="2" t="s">
        <x:v>24</x:v>
      </x:c>
      <x:c r="D21" s="2" t="s">
        <x:v>24</x:v>
      </x:c>
      <x:c r="E21" s="2" t="s">
        <x:v>150</x:v>
      </x:c>
      <x:c r="F21" s="2" t="s">
        <x:v>24</x:v>
      </x:c>
      <x:c r="G21" s="2" t="s">
        <x:v>142</x:v>
      </x:c>
      <x:c r="H21" s="2" t="s">
        <x:v>143</x:v>
      </x:c>
      <x:c r="I21" s="2" t="s">
        <x:v>24</x:v>
      </x:c>
      <x:c r="J21" s="2" t="s">
        <x:v>24</x:v>
      </x:c>
      <x:c r="K21" s="2" t="s">
        <x:v>24</x:v>
      </x:c>
      <x:c r="L21" s="2" t="s">
        <x:v>59</x:v>
      </x:c>
      <x:c r="M21" s="2" t="s">
        <x:v>144</x:v>
      </x:c>
      <x:c r="N21" s="3">
        <x:v>0.0</x:v>
      </x:c>
      <x:c r="O21" s="3">
        <x:v>0.0</x:v>
      </x:c>
      <x:c r="P21" s="3">
        <x:v>0.0</x:v>
      </x:c>
      <x:c r="Q21" s="3">
        <x:v>0.0</x:v>
      </x:c>
      <x:c r="R21" s="3" t="s">
        <x:v>151</x:v>
      </x:c>
      <x:c r="S21" s="2" t="s">
        <x:v>146</x:v>
      </x:c>
      <x:c r="T21" s="5" t="s">
        <x:v>147</x:v>
      </x:c>
    </x:row>
    <x:row r="22">
      <x:c r="A22" s="2" t="s">
        <x:v>152</x:v>
      </x:c>
      <x:c r="B22" s="6" t="s">
        <x:v>153</x:v>
      </x:c>
      <x:c r="C22" s="2" t="s">
        <x:v>24</x:v>
      </x:c>
      <x:c r="D22" s="2" t="s">
        <x:v>24</x:v>
      </x:c>
      <x:c r="E22" s="2" t="s">
        <x:v>154</x:v>
      </x:c>
      <x:c r="F22" s="2" t="s">
        <x:v>24</x:v>
      </x:c>
      <x:c r="G22" s="2" t="s">
        <x:v>142</x:v>
      </x:c>
      <x:c r="H22" s="2" t="s">
        <x:v>143</x:v>
      </x:c>
      <x:c r="I22" s="2" t="s">
        <x:v>24</x:v>
      </x:c>
      <x:c r="J22" s="2" t="s">
        <x:v>24</x:v>
      </x:c>
      <x:c r="K22" s="2" t="s">
        <x:v>24</x:v>
      </x:c>
      <x:c r="L22" s="2" t="s">
        <x:v>155</x:v>
      </x:c>
      <x:c r="M22" s="2" t="s">
        <x:v>144</x:v>
      </x:c>
      <x:c r="N22" s="3">
        <x:v>0.0</x:v>
      </x:c>
      <x:c r="O22" s="3">
        <x:v>0.0</x:v>
      </x:c>
      <x:c r="P22" s="3">
        <x:v>0.0</x:v>
      </x:c>
      <x:c r="Q22" s="3">
        <x:v>0.0</x:v>
      </x:c>
      <x:c r="R22" s="3" t="s">
        <x:v>156</x:v>
      </x:c>
      <x:c r="S22" s="2" t="s">
        <x:v>146</x:v>
      </x:c>
      <x:c r="T22" s="5" t="s">
        <x:v>147</x:v>
      </x:c>
    </x:row>
    <x:row r="23">
      <x:c r="A23" s="2" t="s">
        <x:v>157</x:v>
      </x:c>
      <x:c r="B23" s="6" t="s">
        <x:v>158</x:v>
      </x:c>
      <x:c r="C23" s="2" t="s">
        <x:v>24</x:v>
      </x:c>
      <x:c r="D23" s="2" t="s">
        <x:v>24</x:v>
      </x:c>
      <x:c r="E23" s="2" t="s">
        <x:v>159</x:v>
      </x:c>
      <x:c r="F23" s="2" t="s">
        <x:v>24</x:v>
      </x:c>
      <x:c r="G23" s="2" t="s">
        <x:v>142</x:v>
      </x:c>
      <x:c r="H23" s="2" t="s">
        <x:v>143</x:v>
      </x:c>
      <x:c r="I23" s="2" t="s">
        <x:v>24</x:v>
      </x:c>
      <x:c r="J23" s="2" t="s">
        <x:v>24</x:v>
      </x:c>
      <x:c r="K23" s="2" t="s">
        <x:v>24</x:v>
      </x:c>
      <x:c r="L23" s="2" t="s">
        <x:v>155</x:v>
      </x:c>
      <x:c r="M23" s="2" t="s">
        <x:v>144</x:v>
      </x:c>
      <x:c r="N23" s="3">
        <x:v>0.0</x:v>
      </x:c>
      <x:c r="O23" s="3">
        <x:v>0.0</x:v>
      </x:c>
      <x:c r="P23" s="3">
        <x:v>0.0</x:v>
      </x:c>
      <x:c r="Q23" s="3">
        <x:v>0.0</x:v>
      </x:c>
      <x:c r="R23" s="3" t="s">
        <x:v>160</x:v>
      </x:c>
      <x:c r="S23" s="2" t="s">
        <x:v>146</x:v>
      </x:c>
      <x:c r="T23" s="5" t="s">
        <x:v>147</x:v>
      </x:c>
    </x:row>
    <x:row r="24">
      <x:c r="A24" s="2" t="s">
        <x:v>161</x:v>
      </x:c>
      <x:c r="B24" s="6" t="s">
        <x:v>162</x:v>
      </x:c>
      <x:c r="C24" s="2" t="s">
        <x:v>24</x:v>
      </x:c>
      <x:c r="D24" s="2" t="s">
        <x:v>24</x:v>
      </x:c>
      <x:c r="E24" s="2" t="s">
        <x:v>24</x:v>
      </x:c>
      <x:c r="F24" s="2" t="s">
        <x:v>24</x:v>
      </x:c>
      <x:c r="G24" s="2" t="s">
        <x:v>163</x:v>
      </x:c>
      <x:c r="H24" s="2" t="s">
        <x:v>164</x:v>
      </x:c>
      <x:c r="I24" s="2" t="s">
        <x:v>24</x:v>
      </x:c>
      <x:c r="J24" s="2" t="s">
        <x:v>24</x:v>
      </x:c>
      <x:c r="K24" s="2" t="s">
        <x:v>24</x:v>
      </x:c>
      <x:c r="L24" s="2" t="s">
        <x:v>165</x:v>
      </x:c>
      <x:c r="M24" s="2" t="s">
        <x:v>166</x:v>
      </x:c>
      <x:c r="N24" s="3">
        <x:v>0.0</x:v>
      </x:c>
      <x:c r="O24" s="3">
        <x:v>0.0</x:v>
      </x:c>
      <x:c r="P24" s="3">
        <x:v>0.0</x:v>
      </x:c>
      <x:c r="Q24" s="3">
        <x:v>0.0</x:v>
      </x:c>
      <x:c r="R24" s="3" t="s">
        <x:v>167</x:v>
      </x:c>
      <x:c r="S24" s="2" t="s">
        <x:v>168</x:v>
      </x:c>
      <x:c r="T24" s="5" t="s">
        <x:v>169</x:v>
      </x:c>
    </x:row>
    <x:row r="25">
      <x:c r="A25" s="2" t="s">
        <x:v>170</x:v>
      </x:c>
      <x:c r="B25" s="6" t="s">
        <x:v>171</x:v>
      </x:c>
      <x:c r="C25" s="2" t="s">
        <x:v>24</x:v>
      </x:c>
      <x:c r="D25" s="2" t="s">
        <x:v>24</x:v>
      </x:c>
      <x:c r="E25" s="2" t="s">
        <x:v>172</x:v>
      </x:c>
      <x:c r="F25" s="2" t="s">
        <x:v>24</x:v>
      </x:c>
      <x:c r="G25" s="2" t="s">
        <x:v>163</x:v>
      </x:c>
      <x:c r="H25" s="2" t="s">
        <x:v>164</x:v>
      </x:c>
      <x:c r="I25" s="2" t="s">
        <x:v>24</x:v>
      </x:c>
      <x:c r="J25" s="2" t="s">
        <x:v>24</x:v>
      </x:c>
      <x:c r="K25" s="2" t="s">
        <x:v>24</x:v>
      </x:c>
      <x:c r="L25" s="2" t="s">
        <x:v>165</x:v>
      </x:c>
      <x:c r="M25" s="2" t="s">
        <x:v>173</x:v>
      </x:c>
      <x:c r="N25" s="3">
        <x:v>0.0</x:v>
      </x:c>
      <x:c r="O25" s="3">
        <x:v>0.0</x:v>
      </x:c>
      <x:c r="P25" s="3">
        <x:v>0.0</x:v>
      </x:c>
      <x:c r="Q25" s="3">
        <x:v>0.0</x:v>
      </x:c>
      <x:c r="R25" s="3" t="s">
        <x:v>174</x:v>
      </x:c>
      <x:c r="S25" s="2" t="s">
        <x:v>168</x:v>
      </x:c>
      <x:c r="T25" s="5" t="s">
        <x:v>169</x:v>
      </x:c>
    </x:row>
    <x:row r="26">
      <x:c r="A26" s="2" t="s">
        <x:v>175</x:v>
      </x:c>
      <x:c r="B26" s="6" t="s">
        <x:v>176</x:v>
      </x:c>
      <x:c r="C26" s="2" t="s">
        <x:v>24</x:v>
      </x:c>
      <x:c r="D26" s="2" t="s">
        <x:v>24</x:v>
      </x:c>
      <x:c r="E26" s="2" t="s">
        <x:v>177</x:v>
      </x:c>
      <x:c r="F26" s="2" t="s">
        <x:v>24</x:v>
      </x:c>
      <x:c r="G26" s="2" t="s">
        <x:v>163</x:v>
      </x:c>
      <x:c r="H26" s="2" t="s">
        <x:v>164</x:v>
      </x:c>
      <x:c r="I26" s="2" t="s">
        <x:v>24</x:v>
      </x:c>
      <x:c r="J26" s="2" t="s">
        <x:v>24</x:v>
      </x:c>
      <x:c r="K26" s="2" t="s">
        <x:v>24</x:v>
      </x:c>
      <x:c r="L26" s="2" t="s">
        <x:v>165</x:v>
      </x:c>
      <x:c r="M26" s="2" t="s">
        <x:v>178</x:v>
      </x:c>
      <x:c r="N26" s="3">
        <x:v>0.0</x:v>
      </x:c>
      <x:c r="O26" s="3">
        <x:v>0.0</x:v>
      </x:c>
      <x:c r="P26" s="3">
        <x:v>0.0</x:v>
      </x:c>
      <x:c r="Q26" s="3">
        <x:v>0.0</x:v>
      </x:c>
      <x:c r="R26" s="3" t="s">
        <x:v>179</x:v>
      </x:c>
      <x:c r="S26" s="2" t="s">
        <x:v>168</x:v>
      </x:c>
      <x:c r="T26" s="5" t="s">
        <x:v>169</x:v>
      </x:c>
    </x:row>
    <x:row r="27">
      <x:c r="A27" s="2" t="s">
        <x:v>180</x:v>
      </x:c>
      <x:c r="B27" s="6" t="s">
        <x:v>181</x:v>
      </x:c>
      <x:c r="C27" s="2" t="s">
        <x:v>24</x:v>
      </x:c>
      <x:c r="D27" s="2" t="s">
        <x:v>24</x:v>
      </x:c>
      <x:c r="E27" s="2" t="s">
        <x:v>182</x:v>
      </x:c>
      <x:c r="F27" s="2" t="s">
        <x:v>24</x:v>
      </x:c>
      <x:c r="G27" s="2" t="s">
        <x:v>163</x:v>
      </x:c>
      <x:c r="H27" s="2" t="s">
        <x:v>164</x:v>
      </x:c>
      <x:c r="I27" s="2" t="s">
        <x:v>24</x:v>
      </x:c>
      <x:c r="J27" s="2" t="s">
        <x:v>24</x:v>
      </x:c>
      <x:c r="K27" s="2" t="s">
        <x:v>24</x:v>
      </x:c>
      <x:c r="L27" s="2" t="s">
        <x:v>165</x:v>
      </x:c>
      <x:c r="M27" s="2" t="s">
        <x:v>183</x:v>
      </x:c>
      <x:c r="N27" s="3">
        <x:v>0.0</x:v>
      </x:c>
      <x:c r="O27" s="3">
        <x:v>0.0</x:v>
      </x:c>
      <x:c r="P27" s="3">
        <x:v>0.0</x:v>
      </x:c>
      <x:c r="Q27" s="3">
        <x:v>0.0</x:v>
      </x:c>
      <x:c r="R27" s="3" t="s">
        <x:v>184</x:v>
      </x:c>
      <x:c r="S27" s="2" t="s">
        <x:v>168</x:v>
      </x:c>
      <x:c r="T27" s="5" t="s">
        <x:v>169</x:v>
      </x:c>
    </x:row>
    <x:row r="28">
      <x:c r="A28" s="2" t="s">
        <x:v>185</x:v>
      </x:c>
      <x:c r="B28" s="6" t="s">
        <x:v>186</x:v>
      </x:c>
      <x:c r="C28" s="2" t="s">
        <x:v>24</x:v>
      </x:c>
      <x:c r="D28" s="2" t="s">
        <x:v>24</x:v>
      </x:c>
      <x:c r="E28" s="2" t="s">
        <x:v>187</x:v>
      </x:c>
      <x:c r="F28" s="2" t="s">
        <x:v>24</x:v>
      </x:c>
      <x:c r="G28" s="2" t="s">
        <x:v>163</x:v>
      </x:c>
      <x:c r="H28" s="2" t="s">
        <x:v>164</x:v>
      </x:c>
      <x:c r="I28" s="2" t="s">
        <x:v>24</x:v>
      </x:c>
      <x:c r="J28" s="2" t="s">
        <x:v>24</x:v>
      </x:c>
      <x:c r="K28" s="2" t="s">
        <x:v>24</x:v>
      </x:c>
      <x:c r="L28" s="2" t="s">
        <x:v>165</x:v>
      </x:c>
      <x:c r="M28" s="2" t="s">
        <x:v>188</x:v>
      </x:c>
      <x:c r="N28" s="3">
        <x:v>0.0</x:v>
      </x:c>
      <x:c r="O28" s="3">
        <x:v>0.0</x:v>
      </x:c>
      <x:c r="P28" s="3">
        <x:v>0.0</x:v>
      </x:c>
      <x:c r="Q28" s="3">
        <x:v>0.0</x:v>
      </x:c>
      <x:c r="R28" s="3" t="s">
        <x:v>189</x:v>
      </x:c>
      <x:c r="S28" s="2" t="s">
        <x:v>168</x:v>
      </x:c>
      <x:c r="T28" s="5" t="s">
        <x:v>169</x:v>
      </x:c>
    </x:row>
    <x:row r="29">
      <x:c r="A29" s="2" t="s">
        <x:v>190</x:v>
      </x:c>
      <x:c r="B29" s="6" t="s">
        <x:v>191</x:v>
      </x:c>
      <x:c r="C29" s="2" t="s">
        <x:v>24</x:v>
      </x:c>
      <x:c r="D29" s="2" t="s">
        <x:v>24</x:v>
      </x:c>
      <x:c r="E29" s="2" t="s">
        <x:v>192</x:v>
      </x:c>
      <x:c r="F29" s="2" t="s">
        <x:v>24</x:v>
      </x:c>
      <x:c r="G29" s="2" t="s">
        <x:v>163</x:v>
      </x:c>
      <x:c r="H29" s="2" t="s">
        <x:v>164</x:v>
      </x:c>
      <x:c r="I29" s="2" t="s">
        <x:v>24</x:v>
      </x:c>
      <x:c r="J29" s="2" t="s">
        <x:v>24</x:v>
      </x:c>
      <x:c r="K29" s="2" t="s">
        <x:v>24</x:v>
      </x:c>
      <x:c r="L29" s="2" t="s">
        <x:v>165</x:v>
      </x:c>
      <x:c r="M29" s="2" t="s">
        <x:v>193</x:v>
      </x:c>
      <x:c r="N29" s="3">
        <x:v>0.0</x:v>
      </x:c>
      <x:c r="O29" s="3">
        <x:v>0.0</x:v>
      </x:c>
      <x:c r="P29" s="3">
        <x:v>0.0</x:v>
      </x:c>
      <x:c r="Q29" s="3">
        <x:v>0.0</x:v>
      </x:c>
      <x:c r="R29" s="3" t="s">
        <x:v>194</x:v>
      </x:c>
      <x:c r="S29" s="2" t="s">
        <x:v>168</x:v>
      </x:c>
      <x:c r="T29" s="5" t="s">
        <x:v>169</x:v>
      </x:c>
    </x:row>
    <x:row r="30">
      <x:c r="A30" s="2" t="s">
        <x:v>195</x:v>
      </x:c>
      <x:c r="B30" s="6" t="s">
        <x:v>171</x:v>
      </x:c>
      <x:c r="C30" s="2" t="s">
        <x:v>196</x:v>
      </x:c>
      <x:c r="D30" s="2" t="s">
        <x:v>24</x:v>
      </x:c>
      <x:c r="E30" s="2" t="s">
        <x:v>24</x:v>
      </x:c>
      <x:c r="F30" s="2" t="s">
        <x:v>24</x:v>
      </x:c>
      <x:c r="G30" s="2" t="s">
        <x:v>197</x:v>
      </x:c>
      <x:c r="H30" s="2" t="s">
        <x:v>198</x:v>
      </x:c>
      <x:c r="I30" s="2" t="s">
        <x:v>24</x:v>
      </x:c>
      <x:c r="J30" s="2" t="s">
        <x:v>24</x:v>
      </x:c>
      <x:c r="K30" s="2" t="s">
        <x:v>24</x:v>
      </x:c>
      <x:c r="L30" s="2" t="s">
        <x:v>165</x:v>
      </x:c>
      <x:c r="M30" s="2" t="s">
        <x:v>173</x:v>
      </x:c>
      <x:c r="N30" s="3">
        <x:v>0.0</x:v>
      </x:c>
      <x:c r="O30" s="3">
        <x:v>0.0</x:v>
      </x:c>
      <x:c r="P30" s="3">
        <x:v>0.0</x:v>
      </x:c>
      <x:c r="Q30" s="3">
        <x:v>0.0</x:v>
      </x:c>
      <x:c r="R30" s="3" t="s">
        <x:v>199</x:v>
      </x:c>
      <x:c r="S30" s="2" t="s">
        <x:v>168</x:v>
      </x:c>
      <x:c r="T30" s="4" t="s">
        <x:v>169</x:v>
      </x:c>
    </x:row>
    <x:row r="31">
      <x:c r="A31" s="2" t="s">
        <x:v>200</x:v>
      </x:c>
      <x:c r="B31" s="6" t="s">
        <x:v>176</x:v>
      </x:c>
      <x:c r="C31" s="2" t="s">
        <x:v>201</x:v>
      </x:c>
      <x:c r="D31" s="2" t="s">
        <x:v>24</x:v>
      </x:c>
      <x:c r="E31" s="2" t="s">
        <x:v>24</x:v>
      </x:c>
      <x:c r="F31" s="2" t="s">
        <x:v>24</x:v>
      </x:c>
      <x:c r="G31" s="2" t="s">
        <x:v>197</x:v>
      </x:c>
      <x:c r="H31" s="2" t="s">
        <x:v>198</x:v>
      </x:c>
      <x:c r="I31" s="2" t="s">
        <x:v>24</x:v>
      </x:c>
      <x:c r="J31" s="2" t="s">
        <x:v>24</x:v>
      </x:c>
      <x:c r="K31" s="2" t="s">
        <x:v>24</x:v>
      </x:c>
      <x:c r="L31" s="2" t="s">
        <x:v>165</x:v>
      </x:c>
      <x:c r="M31" s="2" t="s">
        <x:v>178</x:v>
      </x:c>
      <x:c r="N31" s="3">
        <x:v>0.0</x:v>
      </x:c>
      <x:c r="O31" s="3">
        <x:v>0.0</x:v>
      </x:c>
      <x:c r="P31" s="3">
        <x:v>0.0</x:v>
      </x:c>
      <x:c r="Q31" s="3">
        <x:v>0.0</x:v>
      </x:c>
      <x:c r="R31" s="3" t="s">
        <x:v>202</x:v>
      </x:c>
      <x:c r="S31" s="2" t="s">
        <x:v>168</x:v>
      </x:c>
      <x:c r="T31" s="5" t="s">
        <x:v>169</x:v>
      </x:c>
    </x:row>
    <x:row r="32">
      <x:c r="A32" s="2" t="s">
        <x:v>203</x:v>
      </x:c>
      <x:c r="B32" s="6" t="s">
        <x:v>181</x:v>
      </x:c>
      <x:c r="C32" s="2" t="s">
        <x:v>204</x:v>
      </x:c>
      <x:c r="D32" s="2" t="s">
        <x:v>24</x:v>
      </x:c>
      <x:c r="E32" s="2" t="s">
        <x:v>24</x:v>
      </x:c>
      <x:c r="F32" s="2" t="s">
        <x:v>24</x:v>
      </x:c>
      <x:c r="G32" s="2" t="s">
        <x:v>197</x:v>
      </x:c>
      <x:c r="H32" s="2" t="s">
        <x:v>198</x:v>
      </x:c>
      <x:c r="I32" s="2" t="s">
        <x:v>24</x:v>
      </x:c>
      <x:c r="J32" s="2" t="s">
        <x:v>24</x:v>
      </x:c>
      <x:c r="K32" s="2" t="s">
        <x:v>24</x:v>
      </x:c>
      <x:c r="L32" s="2" t="s">
        <x:v>165</x:v>
      </x:c>
      <x:c r="M32" s="2" t="s">
        <x:v>183</x:v>
      </x:c>
      <x:c r="N32" s="3">
        <x:v>0.0</x:v>
      </x:c>
      <x:c r="O32" s="3">
        <x:v>0.0</x:v>
      </x:c>
      <x:c r="P32" s="3">
        <x:v>0.0</x:v>
      </x:c>
      <x:c r="Q32" s="3">
        <x:v>0.0</x:v>
      </x:c>
      <x:c r="R32" s="3" t="s">
        <x:v>205</x:v>
      </x:c>
      <x:c r="S32" s="2" t="s">
        <x:v>168</x:v>
      </x:c>
      <x:c r="T32" s="5" t="s">
        <x:v>169</x:v>
      </x:c>
    </x:row>
    <x:row r="33">
      <x:c r="A33" s="2" t="s">
        <x:v>206</x:v>
      </x:c>
      <x:c r="B33" s="6" t="s">
        <x:v>186</x:v>
      </x:c>
      <x:c r="C33" s="2" t="s">
        <x:v>207</x:v>
      </x:c>
      <x:c r="D33" s="2" t="s">
        <x:v>24</x:v>
      </x:c>
      <x:c r="E33" s="2" t="s">
        <x:v>24</x:v>
      </x:c>
      <x:c r="F33" s="2" t="s">
        <x:v>24</x:v>
      </x:c>
      <x:c r="G33" s="2" t="s">
        <x:v>197</x:v>
      </x:c>
      <x:c r="H33" s="2" t="s">
        <x:v>198</x:v>
      </x:c>
      <x:c r="I33" s="2" t="s">
        <x:v>24</x:v>
      </x:c>
      <x:c r="J33" s="2" t="s">
        <x:v>24</x:v>
      </x:c>
      <x:c r="K33" s="2" t="s">
        <x:v>24</x:v>
      </x:c>
      <x:c r="L33" s="2" t="s">
        <x:v>165</x:v>
      </x:c>
      <x:c r="M33" s="2" t="s">
        <x:v>188</x:v>
      </x:c>
      <x:c r="N33" s="3">
        <x:v>0.0</x:v>
      </x:c>
      <x:c r="O33" s="3">
        <x:v>0.0</x:v>
      </x:c>
      <x:c r="P33" s="3">
        <x:v>0.0</x:v>
      </x:c>
      <x:c r="Q33" s="3">
        <x:v>0.0</x:v>
      </x:c>
      <x:c r="R33" s="3" t="s">
        <x:v>208</x:v>
      </x:c>
      <x:c r="S33" s="2" t="s">
        <x:v>168</x:v>
      </x:c>
      <x:c r="T33" s="5" t="s">
        <x:v>169</x:v>
      </x:c>
    </x:row>
    <x:row r="34">
      <x:c r="A34" s="2" t="s">
        <x:v>209</x:v>
      </x:c>
      <x:c r="B34" s="6" t="s">
        <x:v>210</x:v>
      </x:c>
      <x:c r="C34" s="2" t="s">
        <x:v>211</x:v>
      </x:c>
      <x:c r="D34" s="2" t="s">
        <x:v>24</x:v>
      </x:c>
      <x:c r="E34" s="2" t="s">
        <x:v>24</x:v>
      </x:c>
      <x:c r="F34" s="2" t="s">
        <x:v>24</x:v>
      </x:c>
      <x:c r="G34" s="2" t="s">
        <x:v>197</x:v>
      </x:c>
      <x:c r="H34" s="2" t="s">
        <x:v>198</x:v>
      </x:c>
      <x:c r="I34" s="2" t="s">
        <x:v>24</x:v>
      </x:c>
      <x:c r="J34" s="2" t="s">
        <x:v>24</x:v>
      </x:c>
      <x:c r="K34" s="2" t="s">
        <x:v>24</x:v>
      </x:c>
      <x:c r="L34" s="2" t="s">
        <x:v>165</x:v>
      </x:c>
      <x:c r="M34" s="2" t="s">
        <x:v>193</x:v>
      </x:c>
      <x:c r="N34" s="3">
        <x:v>0.0</x:v>
      </x:c>
      <x:c r="O34" s="3">
        <x:v>0.0</x:v>
      </x:c>
      <x:c r="P34" s="3">
        <x:v>0.0</x:v>
      </x:c>
      <x:c r="Q34" s="3">
        <x:v>0.0</x:v>
      </x:c>
      <x:c r="R34" s="3" t="s">
        <x:v>212</x:v>
      </x:c>
      <x:c r="S34" s="2" t="s">
        <x:v>168</x:v>
      </x:c>
      <x:c r="T34" s="5" t="s">
        <x:v>169</x:v>
      </x:c>
    </x:row>
    <x:row r="35">
      <x:c r="A35" s="2" t="s">
        <x:v>213</x:v>
      </x:c>
      <x:c r="B35" s="6" t="s">
        <x:v>214</x:v>
      </x:c>
      <x:c r="C35" s="2" t="s">
        <x:v>21</x:v>
      </x:c>
      <x:c r="D35" s="2" t="s">
        <x:v>24</x:v>
      </x:c>
      <x:c r="E35" s="2" t="s">
        <x:v>24</x:v>
      </x:c>
      <x:c r="F35" s="2" t="s">
        <x:v>24</x:v>
      </x:c>
      <x:c r="G35" s="2" t="s">
        <x:v>215</x:v>
      </x:c>
      <x:c r="H35" s="2" t="s">
        <x:v>24</x:v>
      </x:c>
      <x:c r="I35" s="2" t="s">
        <x:v>24</x:v>
      </x:c>
      <x:c r="J35" s="2" t="s">
        <x:v>24</x:v>
      </x:c>
      <x:c r="K35" s="2" t="s">
        <x:v>24</x:v>
      </x:c>
      <x:c r="L35" s="2" t="s">
        <x:v>216</x:v>
      </x:c>
      <x:c r="M35" s="2" t="s">
        <x:v>217</x:v>
      </x:c>
      <x:c r="N35" s="3">
        <x:v>0.0</x:v>
      </x:c>
      <x:c r="O35" s="3">
        <x:v>0.0</x:v>
      </x:c>
      <x:c r="P35" s="3">
        <x:v>0.0</x:v>
      </x:c>
      <x:c r="Q35" s="3">
        <x:v>0.0</x:v>
      </x:c>
      <x:c r="R35" s="3">
        <x:v>60.0</x:v>
      </x:c>
      <x:c r="S35" s="2" t="s">
        <x:v>218</x:v>
      </x:c>
      <x:c r="T35" s="5" t="s">
        <x:v>219</x:v>
      </x:c>
    </x:row>
    <x:row r="36">
      <x:c r="A36" s="2" t="s">
        <x:v>220</x:v>
      </x:c>
      <x:c r="B36" s="6" t="s">
        <x:v>221</x:v>
      </x:c>
      <x:c r="C36" s="2" t="s">
        <x:v>222</x:v>
      </x:c>
      <x:c r="D36" s="2" t="s">
        <x:v>24</x:v>
      </x:c>
      <x:c r="E36" s="2" t="s">
        <x:v>223</x:v>
      </x:c>
      <x:c r="F36" s="2" t="s">
        <x:v>24</x:v>
      </x:c>
      <x:c r="G36" s="2" t="s">
        <x:v>224</x:v>
      </x:c>
      <x:c r="H36" s="2" t="s">
        <x:v>24</x:v>
      </x:c>
      <x:c r="I36" s="2" t="s">
        <x:v>24</x:v>
      </x:c>
      <x:c r="J36" s="2" t="s">
        <x:v>24</x:v>
      </x:c>
      <x:c r="K36" s="2" t="s">
        <x:v>24</x:v>
      </x:c>
      <x:c r="L36" s="2" t="s">
        <x:v>225</x:v>
      </x:c>
      <x:c r="M36" s="2" t="s">
        <x:v>217</x:v>
      </x:c>
      <x:c r="N36" s="3">
        <x:v>0.0</x:v>
      </x:c>
      <x:c r="O36" s="3">
        <x:v>0.0</x:v>
      </x:c>
      <x:c r="P36" s="3">
        <x:v>0.0</x:v>
      </x:c>
      <x:c r="Q36" s="3">
        <x:v>0.0</x:v>
      </x:c>
      <x:c r="R36" s="3" t="s">
        <x:v>226</x:v>
      </x:c>
      <x:c r="S36" s="2" t="s">
        <x:v>218</x:v>
      </x:c>
      <x:c r="T36" s="5" t="s">
        <x:v>219</x:v>
      </x:c>
    </x:row>
    <x:row r="37">
      <x:c r="A37" s="2" t="s">
        <x:v>227</x:v>
      </x:c>
      <x:c r="B37" s="6" t="s">
        <x:v>228</x:v>
      </x:c>
      <x:c r="C37" s="2" t="s">
        <x:v>222</x:v>
      </x:c>
      <x:c r="D37" s="2" t="s">
        <x:v>24</x:v>
      </x:c>
      <x:c r="E37" s="2" t="s">
        <x:v>229</x:v>
      </x:c>
      <x:c r="F37" s="2" t="s">
        <x:v>24</x:v>
      </x:c>
      <x:c r="G37" s="2" t="s">
        <x:v>230</x:v>
      </x:c>
      <x:c r="H37" s="2" t="s">
        <x:v>24</x:v>
      </x:c>
      <x:c r="I37" s="2" t="s">
        <x:v>24</x:v>
      </x:c>
      <x:c r="J37" s="2" t="s">
        <x:v>24</x:v>
      </x:c>
      <x:c r="K37" s="2" t="s">
        <x:v>24</x:v>
      </x:c>
      <x:c r="L37" s="2" t="s">
        <x:v>231</x:v>
      </x:c>
      <x:c r="M37" s="2" t="s">
        <x:v>217</x:v>
      </x:c>
      <x:c r="N37" s="3">
        <x:v>0.0</x:v>
      </x:c>
      <x:c r="O37" s="3">
        <x:v>0.0</x:v>
      </x:c>
      <x:c r="P37" s="3">
        <x:v>0.0</x:v>
      </x:c>
      <x:c r="Q37" s="3">
        <x:v>0.0</x:v>
      </x:c>
      <x:c r="R37" s="3">
        <x:v>63.0</x:v>
      </x:c>
      <x:c r="S37" s="2" t="s">
        <x:v>218</x:v>
      </x:c>
      <x:c r="T37" s="5" t="s">
        <x:v>219</x:v>
      </x:c>
    </x:row>
    <x:row r="38">
      <x:c r="A38" s="2" t="s">
        <x:v>232</x:v>
      </x:c>
      <x:c r="B38" s="6" t="s">
        <x:v>233</x:v>
      </x:c>
      <x:c r="C38" s="2" t="s">
        <x:v>222</x:v>
      </x:c>
      <x:c r="D38" s="7" t="s">
        <x:v>24</x:v>
      </x:c>
      <x:c r="E38" s="2" t="s">
        <x:v>234</x:v>
      </x:c>
      <x:c r="F38" s="2" t="s">
        <x:v>24</x:v>
      </x:c>
      <x:c r="G38" s="2" t="s">
        <x:v>235</x:v>
      </x:c>
      <x:c r="H38" s="2" t="s">
        <x:v>24</x:v>
      </x:c>
      <x:c r="I38" s="2" t="s">
        <x:v>24</x:v>
      </x:c>
      <x:c r="J38" s="2" t="s">
        <x:v>24</x:v>
      </x:c>
      <x:c r="K38" s="2" t="s">
        <x:v>24</x:v>
      </x:c>
      <x:c r="L38" s="2" t="s">
        <x:v>236</x:v>
      </x:c>
      <x:c r="M38" s="2" t="s">
        <x:v>217</x:v>
      </x:c>
      <x:c r="N38" s="3">
        <x:v>0.0</x:v>
      </x:c>
      <x:c r="O38" s="3">
        <x:v>0.0</x:v>
      </x:c>
      <x:c r="P38" s="3">
        <x:v>0.0</x:v>
      </x:c>
      <x:c r="Q38" s="3">
        <x:v>0.0</x:v>
      </x:c>
      <x:c r="R38" s="3">
        <x:v>59.0</x:v>
      </x:c>
      <x:c r="S38" s="2" t="s">
        <x:v>218</x:v>
      </x:c>
      <x:c r="T38" s="5" t="s">
        <x:v>219</x:v>
      </x:c>
    </x:row>
    <x:row r="39">
      <x:c r="A39" s="2" t="s">
        <x:v>237</x:v>
      </x:c>
      <x:c r="B39" s="6" t="s">
        <x:v>238</x:v>
      </x:c>
      <x:c r="C39" s="2" t="s">
        <x:v>239</x:v>
      </x:c>
      <x:c r="D39" s="2" t="s">
        <x:v>24</x:v>
      </x:c>
      <x:c r="E39" s="2" t="s">
        <x:v>223</x:v>
      </x:c>
      <x:c r="F39" s="2" t="s">
        <x:v>24</x:v>
      </x:c>
      <x:c r="G39" s="2" t="s">
        <x:v>240</x:v>
      </x:c>
      <x:c r="H39" s="2" t="s">
        <x:v>24</x:v>
      </x:c>
      <x:c r="I39" s="2" t="s">
        <x:v>24</x:v>
      </x:c>
      <x:c r="J39" s="2" t="s">
        <x:v>24</x:v>
      </x:c>
      <x:c r="K39" s="2" t="s">
        <x:v>24</x:v>
      </x:c>
      <x:c r="L39" s="2" t="s">
        <x:v>216</x:v>
      </x:c>
      <x:c r="M39" s="2" t="s">
        <x:v>217</x:v>
      </x:c>
      <x:c r="N39" s="3">
        <x:v>0.0</x:v>
      </x:c>
      <x:c r="O39" s="3">
        <x:v>0.0</x:v>
      </x:c>
      <x:c r="P39" s="3">
        <x:v>0.0</x:v>
      </x:c>
      <x:c r="Q39" s="3">
        <x:v>0.0</x:v>
      </x:c>
      <x:c r="R39" s="3">
        <x:v>56.0</x:v>
      </x:c>
      <x:c r="S39" s="2" t="s">
        <x:v>218</x:v>
      </x:c>
      <x:c r="T39" s="5" t="s">
        <x:v>219</x:v>
      </x:c>
    </x:row>
    <x:row r="40">
      <x:c r="A40" s="2" t="s">
        <x:v>241</x:v>
      </x:c>
      <x:c r="B40" s="2" t="s">
        <x:v>242</x:v>
      </x:c>
      <x:c r="C40" s="2" t="s">
        <x:v>243</x:v>
      </x:c>
      <x:c r="D40" s="2" t="s">
        <x:v>24</x:v>
      </x:c>
      <x:c r="E40" s="2" t="s">
        <x:v>229</x:v>
      </x:c>
      <x:c r="F40" s="2" t="s">
        <x:v>24</x:v>
      </x:c>
      <x:c r="G40" s="2" t="s">
        <x:v>244</x:v>
      </x:c>
      <x:c r="H40" s="2" t="s">
        <x:v>24</x:v>
      </x:c>
      <x:c r="I40" s="2" t="s">
        <x:v>24</x:v>
      </x:c>
      <x:c r="J40" s="2" t="s">
        <x:v>24</x:v>
      </x:c>
      <x:c r="K40" s="2" t="s">
        <x:v>24</x:v>
      </x:c>
      <x:c r="L40" s="2" t="s">
        <x:v>236</x:v>
      </x:c>
      <x:c r="M40" s="7" t="s">
        <x:v>245</x:v>
      </x:c>
      <x:c r="N40" s="3">
        <x:v>0.0</x:v>
      </x:c>
      <x:c r="O40" s="3">
        <x:v>0.0</x:v>
      </x:c>
      <x:c r="P40" s="3">
        <x:v>0.0</x:v>
      </x:c>
      <x:c r="Q40" s="3">
        <x:v>0.0</x:v>
      </x:c>
      <x:c r="R40" s="3">
        <x:v>54.0</x:v>
      </x:c>
      <x:c r="S40" s="2" t="s">
        <x:v>218</x:v>
      </x:c>
      <x:c r="T40" s="5" t="s">
        <x:v>219</x:v>
      </x:c>
    </x:row>
    <x:row r="41">
      <x:c r="A41" s="2" t="s">
        <x:v>246</x:v>
      </x:c>
      <x:c r="B41" s="7" t="s">
        <x:v>247</x:v>
      </x:c>
      <x:c r="C41" s="2" t="s">
        <x:v>24</x:v>
      </x:c>
      <x:c r="D41" s="2" t="s">
        <x:v>24</x:v>
      </x:c>
      <x:c r="E41" s="2" t="s">
        <x:v>24</x:v>
      </x:c>
      <x:c r="F41" s="2" t="s">
        <x:v>24</x:v>
      </x:c>
      <x:c r="G41" s="2" t="s">
        <x:v>248</x:v>
      </x:c>
      <x:c r="H41" s="2" t="s">
        <x:v>249</x:v>
      </x:c>
      <x:c r="I41" s="2" t="s">
        <x:v>24</x:v>
      </x:c>
      <x:c r="J41" s="2" t="s">
        <x:v>24</x:v>
      </x:c>
      <x:c r="K41" s="2" t="s">
        <x:v>24</x:v>
      </x:c>
      <x:c r="L41" s="2" t="s">
        <x:v>250</x:v>
      </x:c>
      <x:c r="M41" s="2" t="s">
        <x:v>251</x:v>
      </x:c>
      <x:c r="N41" s="3">
        <x:v>0.0</x:v>
      </x:c>
      <x:c r="O41" s="3">
        <x:v>0.0</x:v>
      </x:c>
      <x:c r="P41" s="3">
        <x:v>0.0</x:v>
      </x:c>
      <x:c r="Q41" s="3">
        <x:v>0.0</x:v>
      </x:c>
      <x:c r="R41" s="3" t="s">
        <x:v>252</x:v>
      </x:c>
      <x:c r="S41" s="2" t="s">
        <x:v>253</x:v>
      </x:c>
      <x:c r="T41" s="5" t="s">
        <x:v>254</x:v>
      </x:c>
    </x:row>
    <x:row r="42">
      <x:c r="A42" s="2" t="s">
        <x:v>255</x:v>
      </x:c>
      <x:c r="B42" s="2" t="s">
        <x:v>256</x:v>
      </x:c>
      <x:c r="C42" s="7" t="s">
        <x:v>257</x:v>
      </x:c>
      <x:c r="D42" s="2" t="s">
        <x:v>24</x:v>
      </x:c>
      <x:c r="E42" s="2" t="s">
        <x:v>24</x:v>
      </x:c>
      <x:c r="F42" s="2" t="s">
        <x:v>24</x:v>
      </x:c>
      <x:c r="G42" s="2" t="s">
        <x:v>258</x:v>
      </x:c>
      <x:c r="H42" s="2" t="s">
        <x:v>259</x:v>
      </x:c>
      <x:c r="I42" s="2" t="s">
        <x:v>24</x:v>
      </x:c>
      <x:c r="J42" s="2" t="s">
        <x:v>24</x:v>
      </x:c>
      <x:c r="K42" s="2" t="s">
        <x:v>24</x:v>
      </x:c>
      <x:c r="L42" s="2" t="s">
        <x:v>260</x:v>
      </x:c>
      <x:c r="M42" s="2" t="s">
        <x:v>261</x:v>
      </x:c>
      <x:c r="N42" s="3">
        <x:v>0.0</x:v>
      </x:c>
      <x:c r="O42" s="3">
        <x:v>0.0</x:v>
      </x:c>
      <x:c r="P42" s="3">
        <x:v>0.0</x:v>
      </x:c>
      <x:c r="Q42" s="3">
        <x:v>0.0</x:v>
      </x:c>
      <x:c r="R42" s="3" t="s">
        <x:v>262</x:v>
      </x:c>
      <x:c r="S42" s="2" t="s">
        <x:v>253</x:v>
      </x:c>
      <x:c r="T42" s="5" t="s">
        <x:v>254</x:v>
      </x:c>
    </x:row>
    <x:row r="43">
      <x:c r="A43" s="2" t="s">
        <x:v>263</x:v>
      </x:c>
      <x:c r="B43" s="2" t="s">
        <x:v>264</x:v>
      </x:c>
      <x:c r="C43" s="2" t="s">
        <x:v>265</x:v>
      </x:c>
      <x:c r="D43" s="2" t="s">
        <x:v>24</x:v>
      </x:c>
      <x:c r="E43" s="2" t="s">
        <x:v>24</x:v>
      </x:c>
      <x:c r="F43" s="2" t="s">
        <x:v>24</x:v>
      </x:c>
      <x:c r="G43" s="2" t="s">
        <x:v>266</x:v>
      </x:c>
      <x:c r="H43" s="2" t="s">
        <x:v>267</x:v>
      </x:c>
      <x:c r="I43" s="2" t="s">
        <x:v>24</x:v>
      </x:c>
      <x:c r="J43" s="2" t="s">
        <x:v>24</x:v>
      </x:c>
      <x:c r="K43" s="2" t="s">
        <x:v>24</x:v>
      </x:c>
      <x:c r="L43" s="2" t="s">
        <x:v>268</x:v>
      </x:c>
      <x:c r="M43" s="2" t="s">
        <x:v>269</x:v>
      </x:c>
      <x:c r="N43" s="3">
        <x:v>0.0</x:v>
      </x:c>
      <x:c r="O43" s="3">
        <x:v>0.0</x:v>
      </x:c>
      <x:c r="P43" s="3">
        <x:v>0.0</x:v>
      </x:c>
      <x:c r="Q43" s="3">
        <x:v>0.0</x:v>
      </x:c>
      <x:c r="R43" s="3" t="s">
        <x:v>270</x:v>
      </x:c>
      <x:c r="S43" s="2" t="s">
        <x:v>253</x:v>
      </x:c>
      <x:c r="T43" s="5" t="s">
        <x:v>254</x:v>
      </x:c>
    </x:row>
    <x:row r="44">
      <x:c r="A44" s="2" t="s">
        <x:v>271</x:v>
      </x:c>
      <x:c r="B44" s="2" t="s">
        <x:v>272</x:v>
      </x:c>
      <x:c r="C44" s="2" t="s">
        <x:v>22</x:v>
      </x:c>
      <x:c r="D44" s="2" t="s">
        <x:v>24</x:v>
      </x:c>
      <x:c r="E44" s="2" t="s">
        <x:v>24</x:v>
      </x:c>
      <x:c r="F44" s="2" t="s">
        <x:v>24</x:v>
      </x:c>
      <x:c r="G44" s="2" t="s">
        <x:v>273</x:v>
      </x:c>
      <x:c r="H44" s="2" t="s">
        <x:v>274</x:v>
      </x:c>
      <x:c r="I44" s="2" t="s">
        <x:v>24</x:v>
      </x:c>
      <x:c r="J44" s="2" t="s">
        <x:v>24</x:v>
      </x:c>
      <x:c r="K44" s="2" t="s">
        <x:v>24</x:v>
      </x:c>
      <x:c r="L44" s="2" t="s">
        <x:v>275</x:v>
      </x:c>
      <x:c r="M44" s="2" t="s">
        <x:v>276</x:v>
      </x:c>
      <x:c r="N44" s="3">
        <x:v>0.0</x:v>
      </x:c>
      <x:c r="O44" s="3">
        <x:v>0.0</x:v>
      </x:c>
      <x:c r="P44" s="3">
        <x:v>0.0</x:v>
      </x:c>
      <x:c r="Q44" s="3">
        <x:v>0.0</x:v>
      </x:c>
      <x:c r="R44" s="3" t="s">
        <x:v>277</x:v>
      </x:c>
      <x:c r="S44" s="2" t="s">
        <x:v>253</x:v>
      </x:c>
      <x:c r="T44" s="5" t="s">
        <x:v>254</x:v>
      </x:c>
    </x:row>
    <x:row r="45">
      <x:c r="A45" s="2" t="s">
        <x:v>278</x:v>
      </x:c>
      <x:c r="B45" s="2" t="s">
        <x:v>279</x:v>
      </x:c>
      <x:c r="C45" s="2" t="s">
        <x:v>280</x:v>
      </x:c>
      <x:c r="D45" s="2" t="s">
        <x:v>24</x:v>
      </x:c>
      <x:c r="E45" s="2" t="s">
        <x:v>24</x:v>
      </x:c>
      <x:c r="F45" s="2" t="s">
        <x:v>24</x:v>
      </x:c>
      <x:c r="G45" s="2" t="s">
        <x:v>281</x:v>
      </x:c>
      <x:c r="H45" s="2" t="s">
        <x:v>282</x:v>
      </x:c>
      <x:c r="I45" s="2" t="s">
        <x:v>24</x:v>
      </x:c>
      <x:c r="J45" s="2" t="s">
        <x:v>24</x:v>
      </x:c>
      <x:c r="K45" s="2" t="s">
        <x:v>24</x:v>
      </x:c>
      <x:c r="L45" s="2" t="s">
        <x:v>275</x:v>
      </x:c>
      <x:c r="M45" s="2" t="s">
        <x:v>283</x:v>
      </x:c>
      <x:c r="N45" s="3">
        <x:v>0.0</x:v>
      </x:c>
      <x:c r="O45" s="3">
        <x:v>0.0</x:v>
      </x:c>
      <x:c r="P45" s="3">
        <x:v>0.0</x:v>
      </x:c>
      <x:c r="Q45" s="3">
        <x:v>0.0</x:v>
      </x:c>
      <x:c r="R45" s="3" t="s">
        <x:v>284</x:v>
      </x:c>
      <x:c r="S45" s="2" t="s">
        <x:v>253</x:v>
      </x:c>
      <x:c r="T45" s="5" t="s">
        <x:v>254</x:v>
      </x:c>
    </x:row>
    <x:row r="46">
      <x:c r="A46" s="2" t="s">
        <x:v>285</x:v>
      </x:c>
      <x:c r="B46" s="2" t="s">
        <x:v>286</x:v>
      </x:c>
      <x:c r="C46" s="2" t="s">
        <x:v>287</x:v>
      </x:c>
      <x:c r="D46" s="2" t="s">
        <x:v>24</x:v>
      </x:c>
      <x:c r="E46" s="2" t="s">
        <x:v>24</x:v>
      </x:c>
      <x:c r="F46" s="2" t="s">
        <x:v>24</x:v>
      </x:c>
      <x:c r="G46" s="2" t="s">
        <x:v>288</x:v>
      </x:c>
      <x:c r="H46" s="2" t="s">
        <x:v>289</x:v>
      </x:c>
      <x:c r="I46" s="2" t="s">
        <x:v>24</x:v>
      </x:c>
      <x:c r="J46" s="2" t="s">
        <x:v>24</x:v>
      </x:c>
      <x:c r="K46" s="2" t="s">
        <x:v>24</x:v>
      </x:c>
      <x:c r="L46" s="2" t="s">
        <x:v>290</x:v>
      </x:c>
      <x:c r="M46" s="2" t="s">
        <x:v>291</x:v>
      </x:c>
      <x:c r="N46" s="3">
        <x:v>0.0</x:v>
      </x:c>
      <x:c r="O46" s="3">
        <x:v>0.0</x:v>
      </x:c>
      <x:c r="P46" s="3">
        <x:v>0.0</x:v>
      </x:c>
      <x:c r="Q46" s="3">
        <x:v>0.0</x:v>
      </x:c>
      <x:c r="R46" s="3" t="s">
        <x:v>292</x:v>
      </x:c>
      <x:c r="S46" s="2" t="s">
        <x:v>253</x:v>
      </x:c>
      <x:c r="T46" s="5" t="s">
        <x:v>254</x:v>
      </x:c>
    </x:row>
    <x:row r="47">
      <x:c r="A47" s="2" t="s">
        <x:v>293</x:v>
      </x:c>
      <x:c r="B47" s="2" t="s">
        <x:v>294</x:v>
      </x:c>
      <x:c r="C47" s="2" t="s">
        <x:v>295</x:v>
      </x:c>
      <x:c r="D47" s="2" t="s">
        <x:v>24</x:v>
      </x:c>
      <x:c r="E47" s="2" t="s">
        <x:v>24</x:v>
      </x:c>
      <x:c r="F47" s="2" t="s">
        <x:v>24</x:v>
      </x:c>
      <x:c r="G47" s="2" t="s">
        <x:v>296</x:v>
      </x:c>
      <x:c r="H47" s="2" t="s">
        <x:v>297</x:v>
      </x:c>
      <x:c r="I47" s="2" t="s">
        <x:v>24</x:v>
      </x:c>
      <x:c r="J47" s="2" t="s">
        <x:v>24</x:v>
      </x:c>
      <x:c r="K47" s="2" t="s">
        <x:v>24</x:v>
      </x:c>
      <x:c r="L47" s="2" t="s">
        <x:v>298</x:v>
      </x:c>
      <x:c r="M47" s="2" t="s">
        <x:v>299</x:v>
      </x:c>
      <x:c r="N47" s="3">
        <x:v>0.0</x:v>
      </x:c>
      <x:c r="O47" s="3">
        <x:v>0.0</x:v>
      </x:c>
      <x:c r="P47" s="3">
        <x:v>0.0</x:v>
      </x:c>
      <x:c r="Q47" s="3">
        <x:v>0.0</x:v>
      </x:c>
      <x:c r="R47" s="3" t="s">
        <x:v>300</x:v>
      </x:c>
      <x:c r="S47" s="2" t="s">
        <x:v>301</x:v>
      </x:c>
      <x:c r="T47" s="5" t="s">
        <x:v>302</x:v>
      </x:c>
    </x:row>
    <x:row r="48">
      <x:c r="A48" s="2" t="s">
        <x:v>303</x:v>
      </x:c>
      <x:c r="B48" s="2" t="s">
        <x:v>304</x:v>
      </x:c>
      <x:c r="C48" s="2" t="s">
        <x:v>305</x:v>
      </x:c>
      <x:c r="D48" s="2" t="s">
        <x:v>24</x:v>
      </x:c>
      <x:c r="E48" s="2" t="s">
        <x:v>24</x:v>
      </x:c>
      <x:c r="F48" s="2" t="s">
        <x:v>24</x:v>
      </x:c>
      <x:c r="G48" s="2" t="s">
        <x:v>296</x:v>
      </x:c>
      <x:c r="H48" s="2" t="s">
        <x:v>297</x:v>
      </x:c>
      <x:c r="I48" s="2" t="s">
        <x:v>24</x:v>
      </x:c>
      <x:c r="J48" s="2" t="s">
        <x:v>24</x:v>
      </x:c>
      <x:c r="K48" s="2" t="s">
        <x:v>24</x:v>
      </x:c>
      <x:c r="L48" s="2" t="s">
        <x:v>306</x:v>
      </x:c>
      <x:c r="M48" s="2" t="s">
        <x:v>299</x:v>
      </x:c>
      <x:c r="N48" s="3">
        <x:v>0.0</x:v>
      </x:c>
      <x:c r="O48" s="3">
        <x:v>0.0</x:v>
      </x:c>
      <x:c r="P48" s="3">
        <x:v>0.0</x:v>
      </x:c>
      <x:c r="Q48" s="3">
        <x:v>0.0</x:v>
      </x:c>
      <x:c r="R48" s="3" t="s">
        <x:v>307</x:v>
      </x:c>
      <x:c r="S48" s="2" t="s">
        <x:v>301</x:v>
      </x:c>
      <x:c r="T48" s="5" t="s">
        <x:v>302</x:v>
      </x:c>
    </x:row>
    <x:row r="49">
      <x:c r="A49" s="2" t="s">
        <x:v>308</x:v>
      </x:c>
      <x:c r="B49" s="2" t="s">
        <x:v>309</x:v>
      </x:c>
      <x:c r="C49" s="2" t="s">
        <x:v>105</x:v>
      </x:c>
      <x:c r="D49" s="2" t="s">
        <x:v>24</x:v>
      </x:c>
      <x:c r="E49" s="2" t="s">
        <x:v>24</x:v>
      </x:c>
      <x:c r="F49" s="2" t="s">
        <x:v>24</x:v>
      </x:c>
      <x:c r="G49" s="2" t="s">
        <x:v>296</x:v>
      </x:c>
      <x:c r="H49" s="2" t="s">
        <x:v>297</x:v>
      </x:c>
      <x:c r="I49" s="2" t="s">
        <x:v>24</x:v>
      </x:c>
      <x:c r="J49" s="2" t="s">
        <x:v>24</x:v>
      </x:c>
      <x:c r="K49" s="2" t="s">
        <x:v>24</x:v>
      </x:c>
      <x:c r="L49" s="2" t="s">
        <x:v>310</x:v>
      </x:c>
      <x:c r="M49" s="2" t="s">
        <x:v>299</x:v>
      </x:c>
      <x:c r="N49" s="3">
        <x:v>0.0</x:v>
      </x:c>
      <x:c r="O49" s="3">
        <x:v>0.0</x:v>
      </x:c>
      <x:c r="P49" s="3">
        <x:v>0.0</x:v>
      </x:c>
      <x:c r="Q49" s="3">
        <x:v>0.0</x:v>
      </x:c>
      <x:c r="R49" s="3" t="s">
        <x:v>311</x:v>
      </x:c>
      <x:c r="S49" s="2" t="s">
        <x:v>301</x:v>
      </x:c>
      <x:c r="T49" s="5" t="s">
        <x:v>302</x:v>
      </x:c>
    </x:row>
    <x:row r="50">
      <x:c r="A50" s="2" t="s">
        <x:v>312</x:v>
      </x:c>
      <x:c r="B50" s="2" t="s">
        <x:v>38</x:v>
      </x:c>
      <x:c r="C50" s="2" t="s">
        <x:v>35</x:v>
      </x:c>
      <x:c r="D50" s="2" t="s">
        <x:v>24</x:v>
      </x:c>
      <x:c r="E50" s="2" t="s">
        <x:v>24</x:v>
      </x:c>
      <x:c r="F50" s="2" t="s">
        <x:v>24</x:v>
      </x:c>
      <x:c r="G50" s="2" t="s">
        <x:v>296</x:v>
      </x:c>
      <x:c r="H50" s="2" t="s">
        <x:v>297</x:v>
      </x:c>
      <x:c r="I50" s="2" t="s">
        <x:v>24</x:v>
      </x:c>
      <x:c r="J50" s="2" t="s">
        <x:v>24</x:v>
      </x:c>
      <x:c r="K50" s="2" t="s">
        <x:v>24</x:v>
      </x:c>
      <x:c r="L50" s="2" t="s">
        <x:v>313</x:v>
      </x:c>
      <x:c r="M50" s="2" t="s">
        <x:v>299</x:v>
      </x:c>
      <x:c r="N50" s="3">
        <x:v>0.0</x:v>
      </x:c>
      <x:c r="O50" s="3">
        <x:v>0.0</x:v>
      </x:c>
      <x:c r="P50" s="3">
        <x:v>0.0</x:v>
      </x:c>
      <x:c r="Q50" s="3">
        <x:v>0.0</x:v>
      </x:c>
      <x:c r="R50" s="3" t="s">
        <x:v>307</x:v>
      </x:c>
      <x:c r="S50" s="2" t="s">
        <x:v>301</x:v>
      </x:c>
      <x:c r="T50" s="5" t="s">
        <x:v>302</x:v>
      </x:c>
    </x:row>
    <x:row r="51">
      <x:c r="A51" s="2" t="s">
        <x:v>314</x:v>
      </x:c>
      <x:c r="B51" s="2" t="s">
        <x:v>315</x:v>
      </x:c>
      <x:c r="C51" s="2" t="s">
        <x:v>22</x:v>
      </x:c>
      <x:c r="D51" s="2" t="s">
        <x:v>24</x:v>
      </x:c>
      <x:c r="E51" s="2" t="s">
        <x:v>24</x:v>
      </x:c>
      <x:c r="F51" s="2" t="s">
        <x:v>24</x:v>
      </x:c>
      <x:c r="G51" s="2" t="s">
        <x:v>316</x:v>
      </x:c>
      <x:c r="H51" s="2" t="s">
        <x:v>317</x:v>
      </x:c>
      <x:c r="I51" s="2" t="s">
        <x:v>24</x:v>
      </x:c>
      <x:c r="J51" s="2" t="s">
        <x:v>24</x:v>
      </x:c>
      <x:c r="K51" s="2" t="s">
        <x:v>24</x:v>
      </x:c>
      <x:c r="L51" s="2" t="s">
        <x:v>105</x:v>
      </x:c>
      <x:c r="M51" s="2" t="s">
        <x:v>318</x:v>
      </x:c>
      <x:c r="N51" s="3">
        <x:v>0.0</x:v>
      </x:c>
      <x:c r="O51" s="3">
        <x:v>0.0</x:v>
      </x:c>
      <x:c r="P51" s="3">
        <x:v>0.0</x:v>
      </x:c>
      <x:c r="Q51" s="3">
        <x:v>0.0</x:v>
      </x:c>
      <x:c r="R51" s="3" t="s">
        <x:v>319</x:v>
      </x:c>
      <x:c r="S51" s="2" t="s">
        <x:v>320</x:v>
      </x:c>
      <x:c r="T51" s="5" t="s">
        <x:v>321</x:v>
      </x:c>
    </x:row>
    <x:row r="52">
      <x:c r="A52" s="2" t="s">
        <x:v>322</x:v>
      </x:c>
      <x:c r="B52" s="2" t="s">
        <x:v>323</x:v>
      </x:c>
      <x:c r="C52" s="2" t="s">
        <x:v>324</x:v>
      </x:c>
      <x:c r="D52" s="2" t="s">
        <x:v>24</x:v>
      </x:c>
      <x:c r="E52" s="2" t="s">
        <x:v>24</x:v>
      </x:c>
      <x:c r="F52" s="2" t="s">
        <x:v>24</x:v>
      </x:c>
      <x:c r="G52" s="2" t="s">
        <x:v>325</x:v>
      </x:c>
      <x:c r="H52" s="2" t="s">
        <x:v>326</x:v>
      </x:c>
      <x:c r="I52" s="2" t="s">
        <x:v>24</x:v>
      </x:c>
      <x:c r="J52" s="2" t="s">
        <x:v>24</x:v>
      </x:c>
      <x:c r="K52" s="2" t="s">
        <x:v>24</x:v>
      </x:c>
      <x:c r="L52" s="2" t="s">
        <x:v>105</x:v>
      </x:c>
      <x:c r="M52" s="2" t="s">
        <x:v>327</x:v>
      </x:c>
      <x:c r="N52" s="3">
        <x:v>0.0</x:v>
      </x:c>
      <x:c r="O52" s="3">
        <x:v>0.0</x:v>
      </x:c>
      <x:c r="P52" s="3">
        <x:v>0.0</x:v>
      </x:c>
      <x:c r="Q52" s="3">
        <x:v>0.0</x:v>
      </x:c>
      <x:c r="R52" s="8">
        <x:v>46173.0</x:v>
      </x:c>
      <x:c r="S52" s="2" t="s">
        <x:v>320</x:v>
      </x:c>
      <x:c r="T52" s="4" t="s">
        <x:v>321</x:v>
      </x:c>
    </x:row>
    <x:row r="53">
      <x:c r="A53" s="2" t="s">
        <x:v>328</x:v>
      </x:c>
      <x:c r="B53" s="2" t="s">
        <x:v>329</x:v>
      </x:c>
      <x:c r="C53" s="2" t="s">
        <x:v>330</x:v>
      </x:c>
      <x:c r="D53" s="2" t="s">
        <x:v>24</x:v>
      </x:c>
      <x:c r="E53" s="2" t="s">
        <x:v>24</x:v>
      </x:c>
      <x:c r="F53" s="2" t="s">
        <x:v>24</x:v>
      </x:c>
      <x:c r="G53" s="2" t="s">
        <x:v>331</x:v>
      </x:c>
      <x:c r="H53" s="2" t="s">
        <x:v>332</x:v>
      </x:c>
      <x:c r="I53" s="2" t="s">
        <x:v>24</x:v>
      </x:c>
      <x:c r="J53" s="2" t="s">
        <x:v>24</x:v>
      </x:c>
      <x:c r="K53" s="2" t="s">
        <x:v>24</x:v>
      </x:c>
      <x:c r="L53" s="2" t="s">
        <x:v>105</x:v>
      </x:c>
      <x:c r="M53" s="2" t="s">
        <x:v>333</x:v>
      </x:c>
      <x:c r="N53" s="3">
        <x:v>0.0</x:v>
      </x:c>
      <x:c r="O53" s="3">
        <x:v>0.0</x:v>
      </x:c>
      <x:c r="P53" s="3">
        <x:v>0.0</x:v>
      </x:c>
      <x:c r="Q53" s="3">
        <x:v>0.0</x:v>
      </x:c>
      <x:c r="R53" s="8">
        <x:v>46263.0</x:v>
      </x:c>
      <x:c r="S53" s="2" t="s">
        <x:v>320</x:v>
      </x:c>
      <x:c r="T53" s="5" t="s">
        <x:v>321</x:v>
      </x:c>
    </x:row>
    <x:row r="54">
      <x:c r="A54" s="2" t="s">
        <x:v>334</x:v>
      </x:c>
      <x:c r="B54" s="2" t="s">
        <x:v>335</x:v>
      </x:c>
      <x:c r="C54" s="2" t="s">
        <x:v>24</x:v>
      </x:c>
      <x:c r="D54" s="2" t="s">
        <x:v>24</x:v>
      </x:c>
      <x:c r="E54" s="2" t="s">
        <x:v>24</x:v>
      </x:c>
      <x:c r="F54" s="2" t="s">
        <x:v>24</x:v>
      </x:c>
      <x:c r="G54" s="2" t="s">
        <x:v>336</x:v>
      </x:c>
      <x:c r="H54" s="2" t="s">
        <x:v>259</x:v>
      </x:c>
      <x:c r="I54" s="2" t="s">
        <x:v>24</x:v>
      </x:c>
      <x:c r="J54" s="2" t="s">
        <x:v>24</x:v>
      </x:c>
      <x:c r="K54" s="2" t="s">
        <x:v>24</x:v>
      </x:c>
      <x:c r="L54" s="2" t="s">
        <x:v>337</x:v>
      </x:c>
      <x:c r="M54" s="2" t="s">
        <x:v>338</x:v>
      </x:c>
      <x:c r="N54" s="9">
        <x:v>0.0</x:v>
      </x:c>
      <x:c r="O54" s="3">
        <x:v>0.0</x:v>
      </x:c>
      <x:c r="P54" s="3">
        <x:v>0.0</x:v>
      </x:c>
      <x:c r="Q54" s="8">
        <x:v>46116.0</x:v>
      </x:c>
      <x:c r="R54" s="3" t="s">
        <x:v>339</x:v>
      </x:c>
      <x:c r="S54" s="2" t="s">
        <x:v>340</x:v>
      </x:c>
      <x:c r="T54" s="5" t="s">
        <x:v>341</x:v>
      </x:c>
    </x:row>
    <x:row r="55">
      <x:c r="A55" s="2" t="s">
        <x:v>342</x:v>
      </x:c>
      <x:c r="B55" s="2" t="s">
        <x:v>335</x:v>
      </x:c>
      <x:c r="C55" s="2" t="s">
        <x:v>343</x:v>
      </x:c>
      <x:c r="D55" s="2" t="s">
        <x:v>24</x:v>
      </x:c>
      <x:c r="E55" s="2" t="s">
        <x:v>24</x:v>
      </x:c>
      <x:c r="F55" s="2" t="s">
        <x:v>24</x:v>
      </x:c>
      <x:c r="G55" s="2" t="s">
        <x:v>344</x:v>
      </x:c>
      <x:c r="H55" s="2" t="s">
        <x:v>345</x:v>
      </x:c>
      <x:c r="I55" s="2" t="s">
        <x:v>24</x:v>
      </x:c>
      <x:c r="J55" s="2" t="s">
        <x:v>24</x:v>
      </x:c>
      <x:c r="K55" s="2" t="s">
        <x:v>24</x:v>
      </x:c>
      <x:c r="L55" s="2" t="s">
        <x:v>346</x:v>
      </x:c>
      <x:c r="M55" s="2" t="s">
        <x:v>338</x:v>
      </x:c>
      <x:c r="N55" s="3">
        <x:v>0.0</x:v>
      </x:c>
      <x:c r="O55" s="3">
        <x:v>0.0</x:v>
      </x:c>
      <x:c r="P55" s="3">
        <x:v>0.0</x:v>
      </x:c>
      <x:c r="Q55" s="8">
        <x:v>46146.0</x:v>
      </x:c>
      <x:c r="R55" s="3" t="s">
        <x:v>347</x:v>
      </x:c>
      <x:c r="S55" s="2" t="s">
        <x:v>340</x:v>
      </x:c>
      <x:c r="T55" s="5" t="s">
        <x:v>341</x:v>
      </x:c>
    </x:row>
    <x:row r="56">
      <x:c r="A56" s="2" t="s">
        <x:v>348</x:v>
      </x:c>
      <x:c r="B56" s="2" t="s">
        <x:v>335</x:v>
      </x:c>
      <x:c r="C56" s="2" t="s">
        <x:v>349</x:v>
      </x:c>
      <x:c r="D56" s="2" t="s">
        <x:v>24</x:v>
      </x:c>
      <x:c r="E56" s="2" t="s">
        <x:v>24</x:v>
      </x:c>
      <x:c r="F56" s="2" t="s">
        <x:v>24</x:v>
      </x:c>
      <x:c r="G56" s="2" t="s">
        <x:v>350</x:v>
      </x:c>
      <x:c r="H56" s="2" t="s">
        <x:v>351</x:v>
      </x:c>
      <x:c r="I56" s="2" t="s">
        <x:v>24</x:v>
      </x:c>
      <x:c r="J56" s="2" t="s">
        <x:v>24</x:v>
      </x:c>
      <x:c r="K56" s="2" t="s">
        <x:v>24</x:v>
      </x:c>
      <x:c r="L56" s="2" t="s">
        <x:v>352</x:v>
      </x:c>
      <x:c r="M56" s="2" t="s">
        <x:v>338</x:v>
      </x:c>
      <x:c r="N56" s="3">
        <x:v>0.0</x:v>
      </x:c>
      <x:c r="O56" s="3">
        <x:v>0.0</x:v>
      </x:c>
      <x:c r="P56" s="3">
        <x:v>0.0</x:v>
      </x:c>
      <x:c r="Q56" s="8">
        <x:v>46176.0</x:v>
      </x:c>
      <x:c r="R56" s="3" t="s">
        <x:v>353</x:v>
      </x:c>
      <x:c r="S56" s="2" t="s">
        <x:v>340</x:v>
      </x:c>
      <x:c r="T56" s="5" t="s">
        <x:v>341</x:v>
      </x:c>
    </x:row>
    <x:row r="57">
      <x:c r="A57" s="2" t="s">
        <x:v>354</x:v>
      </x:c>
      <x:c r="B57" s="2" t="s">
        <x:v>335</x:v>
      </x:c>
      <x:c r="C57" s="2" t="s">
        <x:v>355</x:v>
      </x:c>
      <x:c r="D57" s="2" t="s">
        <x:v>24</x:v>
      </x:c>
      <x:c r="E57" s="2" t="s">
        <x:v>24</x:v>
      </x:c>
      <x:c r="F57" s="2" t="s">
        <x:v>24</x:v>
      </x:c>
      <x:c r="G57" s="2" t="s">
        <x:v>356</x:v>
      </x:c>
      <x:c r="H57" s="2" t="s">
        <x:v>357</x:v>
      </x:c>
      <x:c r="I57" s="2" t="s">
        <x:v>24</x:v>
      </x:c>
      <x:c r="J57" s="2" t="s">
        <x:v>24</x:v>
      </x:c>
      <x:c r="K57" s="2" t="s">
        <x:v>24</x:v>
      </x:c>
      <x:c r="L57" s="2" t="s">
        <x:v>358</x:v>
      </x:c>
      <x:c r="M57" s="2" t="s">
        <x:v>338</x:v>
      </x:c>
      <x:c r="N57" s="3">
        <x:v>0.0</x:v>
      </x:c>
      <x:c r="O57" s="3">
        <x:v>0.0</x:v>
      </x:c>
      <x:c r="P57" s="3">
        <x:v>0.0</x:v>
      </x:c>
      <x:c r="Q57" s="8">
        <x:v>46236.0</x:v>
      </x:c>
      <x:c r="R57" s="3" t="s">
        <x:v>359</x:v>
      </x:c>
      <x:c r="S57" s="2" t="s">
        <x:v>340</x:v>
      </x:c>
      <x:c r="T57" s="5" t="s">
        <x:v>341</x:v>
      </x:c>
    </x:row>
    <x:row r="58">
      <x:c r="A58" s="2" t="s">
        <x:v>360</x:v>
      </x:c>
      <x:c r="B58" s="2" t="s">
        <x:v>361</x:v>
      </x:c>
      <x:c r="C58" s="2" t="s">
        <x:v>24</x:v>
      </x:c>
      <x:c r="D58" s="2" t="s">
        <x:v>24</x:v>
      </x:c>
      <x:c r="E58" s="2" t="s">
        <x:v>24</x:v>
      </x:c>
      <x:c r="F58" s="2" t="s">
        <x:v>24</x:v>
      </x:c>
      <x:c r="G58" s="2" t="s">
        <x:v>362</x:v>
      </x:c>
      <x:c r="H58" s="2" t="s">
        <x:v>363</x:v>
      </x:c>
      <x:c r="I58" s="2" t="s">
        <x:v>24</x:v>
      </x:c>
      <x:c r="J58" s="2" t="s">
        <x:v>24</x:v>
      </x:c>
      <x:c r="K58" s="2" t="s">
        <x:v>24</x:v>
      </x:c>
      <x:c r="L58" s="2" t="s">
        <x:v>364</x:v>
      </x:c>
      <x:c r="M58" s="2" t="s">
        <x:v>365</x:v>
      </x:c>
      <x:c r="N58" s="3">
        <x:v>0.0</x:v>
      </x:c>
      <x:c r="O58" s="3">
        <x:v>0.0</x:v>
      </x:c>
      <x:c r="P58" s="3">
        <x:v>0.0</x:v>
      </x:c>
      <x:c r="Q58" s="3">
        <x:v>0.0</x:v>
      </x:c>
      <x:c r="R58" s="3" t="s">
        <x:v>366</x:v>
      </x:c>
      <x:c r="S58" s="2" t="s">
        <x:v>367</x:v>
      </x:c>
      <x:c r="T58" s="5" t="s">
        <x:v>368</x:v>
      </x:c>
    </x:row>
    <x:row r="59">
      <x:c r="A59" s="2" t="s">
        <x:v>369</x:v>
      </x:c>
      <x:c r="B59" s="2" t="s">
        <x:v>32</x:v>
      </x:c>
      <x:c r="C59" s="2" t="s">
        <x:v>370</x:v>
      </x:c>
      <x:c r="D59" s="2" t="s">
        <x:v>24</x:v>
      </x:c>
      <x:c r="E59" s="2" t="s">
        <x:v>24</x:v>
      </x:c>
      <x:c r="F59" s="2" t="s">
        <x:v>24</x:v>
      </x:c>
      <x:c r="G59" s="2" t="s">
        <x:v>371</x:v>
      </x:c>
      <x:c r="H59" s="2" t="s">
        <x:v>372</x:v>
      </x:c>
      <x:c r="I59" s="2" t="s">
        <x:v>24</x:v>
      </x:c>
      <x:c r="J59" s="2" t="s">
        <x:v>24</x:v>
      </x:c>
      <x:c r="K59" s="2" t="s">
        <x:v>24</x:v>
      </x:c>
      <x:c r="L59" s="2" t="s">
        <x:v>364</x:v>
      </x:c>
      <x:c r="M59" s="2" t="s">
        <x:v>125</x:v>
      </x:c>
      <x:c r="N59" s="3">
        <x:v>0.0</x:v>
      </x:c>
      <x:c r="O59" s="3">
        <x:v>0.0</x:v>
      </x:c>
      <x:c r="P59" s="3">
        <x:v>0.0</x:v>
      </x:c>
      <x:c r="Q59" s="3">
        <x:v>0.0</x:v>
      </x:c>
      <x:c r="R59" s="3" t="s">
        <x:v>373</x:v>
      </x:c>
      <x:c r="S59" s="2" t="s">
        <x:v>367</x:v>
      </x:c>
      <x:c r="T59" s="5" t="s">
        <x:v>368</x:v>
      </x:c>
    </x:row>
    <x:row r="60">
      <x:c r="A60" s="2" t="s">
        <x:v>374</x:v>
      </x:c>
      <x:c r="B60" s="2" t="s">
        <x:v>32</x:v>
      </x:c>
      <x:c r="C60" s="2" t="s">
        <x:v>375</x:v>
      </x:c>
      <x:c r="D60" s="2" t="s">
        <x:v>116</x:v>
      </x:c>
      <x:c r="E60" s="2" t="s">
        <x:v>24</x:v>
      </x:c>
      <x:c r="F60" s="2" t="s">
        <x:v>24</x:v>
      </x:c>
      <x:c r="G60" s="2" t="s">
        <x:v>376</x:v>
      </x:c>
      <x:c r="H60" s="2" t="s">
        <x:v>377</x:v>
      </x:c>
      <x:c r="I60" s="2" t="s">
        <x:v>24</x:v>
      </x:c>
      <x:c r="J60" s="2" t="s">
        <x:v>24</x:v>
      </x:c>
      <x:c r="K60" s="2" t="s">
        <x:v>24</x:v>
      </x:c>
      <x:c r="L60" s="2" t="s">
        <x:v>364</x:v>
      </x:c>
      <x:c r="M60" s="2" t="s">
        <x:v>378</x:v>
      </x:c>
      <x:c r="N60" s="3">
        <x:v>0.0</x:v>
      </x:c>
      <x:c r="O60" s="3">
        <x:v>0.0</x:v>
      </x:c>
      <x:c r="P60" s="3">
        <x:v>0.0</x:v>
      </x:c>
      <x:c r="Q60" s="3">
        <x:v>0.0</x:v>
      </x:c>
      <x:c r="R60" s="3" t="s">
        <x:v>379</x:v>
      </x:c>
      <x:c r="S60" s="2" t="s">
        <x:v>367</x:v>
      </x:c>
      <x:c r="T60" s="5" t="s">
        <x:v>368</x:v>
      </x:c>
    </x:row>
    <x:row r="61">
      <x:c r="A61" s="2" t="s">
        <x:v>380</x:v>
      </x:c>
      <x:c r="B61" s="2" t="s">
        <x:v>381</x:v>
      </x:c>
      <x:c r="C61" s="2" t="s">
        <x:v>24</x:v>
      </x:c>
      <x:c r="D61" s="2" t="s">
        <x:v>24</x:v>
      </x:c>
      <x:c r="E61" s="2" t="s">
        <x:v>24</x:v>
      </x:c>
      <x:c r="F61" s="2" t="s">
        <x:v>24</x:v>
      </x:c>
      <x:c r="G61" s="2" t="s">
        <x:v>382</x:v>
      </x:c>
      <x:c r="H61" s="2" t="s">
        <x:v>383</x:v>
      </x:c>
      <x:c r="I61" s="2" t="s">
        <x:v>24</x:v>
      </x:c>
      <x:c r="J61" s="2" t="s">
        <x:v>24</x:v>
      </x:c>
      <x:c r="K61" s="2" t="s">
        <x:v>24</x:v>
      </x:c>
      <x:c r="L61" s="2" t="s">
        <x:v>384</x:v>
      </x:c>
      <x:c r="M61" s="2" t="s">
        <x:v>385</x:v>
      </x:c>
      <x:c r="N61" s="3">
        <x:v>0.0</x:v>
      </x:c>
      <x:c r="O61" s="3">
        <x:v>0.0</x:v>
      </x:c>
      <x:c r="P61" s="3">
        <x:v>0.0</x:v>
      </x:c>
      <x:c r="Q61" s="3">
        <x:v>0.0</x:v>
      </x:c>
      <x:c r="R61" s="3" t="s">
        <x:v>156</x:v>
      </x:c>
      <x:c r="S61" s="2" t="s">
        <x:v>386</x:v>
      </x:c>
      <x:c r="T61" s="5" t="s">
        <x:v>387</x:v>
      </x:c>
    </x:row>
    <x:row r="62">
      <x:c r="A62" s="2" t="s">
        <x:v>388</x:v>
      </x:c>
      <x:c r="B62" s="2" t="s">
        <x:v>389</x:v>
      </x:c>
      <x:c r="C62" s="2" t="s">
        <x:v>24</x:v>
      </x:c>
      <x:c r="D62" s="2" t="s">
        <x:v>24</x:v>
      </x:c>
      <x:c r="E62" s="2" t="s">
        <x:v>390</x:v>
      </x:c>
      <x:c r="F62" s="2" t="s">
        <x:v>24</x:v>
      </x:c>
      <x:c r="G62" s="2" t="s">
        <x:v>382</x:v>
      </x:c>
      <x:c r="H62" s="2" t="s">
        <x:v>383</x:v>
      </x:c>
      <x:c r="I62" s="2" t="s">
        <x:v>24</x:v>
      </x:c>
      <x:c r="J62" s="2" t="s">
        <x:v>24</x:v>
      </x:c>
      <x:c r="K62" s="2" t="s">
        <x:v>24</x:v>
      </x:c>
      <x:c r="L62" s="2" t="s">
        <x:v>384</x:v>
      </x:c>
      <x:c r="M62" s="2" t="s">
        <x:v>385</x:v>
      </x:c>
      <x:c r="N62" s="3">
        <x:v>0.0</x:v>
      </x:c>
      <x:c r="O62" s="3">
        <x:v>0.0</x:v>
      </x:c>
      <x:c r="P62" s="3">
        <x:v>0.0</x:v>
      </x:c>
      <x:c r="Q62" s="3">
        <x:v>0.0</x:v>
      </x:c>
      <x:c r="R62" s="3" t="s">
        <x:v>391</x:v>
      </x:c>
      <x:c r="S62" s="2" t="s">
        <x:v>386</x:v>
      </x:c>
      <x:c r="T62" s="5" t="s">
        <x:v>387</x:v>
      </x:c>
    </x:row>
    <x:row r="63">
      <x:c r="A63" s="2" t="s">
        <x:v>392</x:v>
      </x:c>
      <x:c r="B63" s="2" t="s">
        <x:v>393</x:v>
      </x:c>
      <x:c r="C63" s="2" t="s">
        <x:v>24</x:v>
      </x:c>
      <x:c r="D63" s="2" t="s">
        <x:v>24</x:v>
      </x:c>
      <x:c r="E63" s="2" t="s">
        <x:v>394</x:v>
      </x:c>
      <x:c r="F63" s="2" t="s">
        <x:v>24</x:v>
      </x:c>
      <x:c r="G63" s="2" t="s">
        <x:v>382</x:v>
      </x:c>
      <x:c r="H63" s="2" t="s">
        <x:v>383</x:v>
      </x:c>
      <x:c r="I63" s="2" t="s">
        <x:v>24</x:v>
      </x:c>
      <x:c r="J63" s="2" t="s">
        <x:v>24</x:v>
      </x:c>
      <x:c r="K63" s="2" t="s">
        <x:v>24</x:v>
      </x:c>
      <x:c r="L63" s="2" t="s">
        <x:v>384</x:v>
      </x:c>
      <x:c r="M63" s="2" t="s">
        <x:v>385</x:v>
      </x:c>
      <x:c r="N63" s="3">
        <x:v>0.0</x:v>
      </x:c>
      <x:c r="O63" s="3">
        <x:v>0.0</x:v>
      </x:c>
      <x:c r="P63" s="3">
        <x:v>0.0</x:v>
      </x:c>
      <x:c r="Q63" s="3">
        <x:v>0.0</x:v>
      </x:c>
      <x:c r="R63" s="3" t="s">
        <x:v>395</x:v>
      </x:c>
      <x:c r="S63" s="2" t="s">
        <x:v>386</x:v>
      </x:c>
      <x:c r="T63" s="5" t="s">
        <x:v>387</x:v>
      </x:c>
    </x:row>
    <x:row r="64">
      <x:c r="A64" s="2" t="s">
        <x:v>396</x:v>
      </x:c>
      <x:c r="B64" s="2" t="s">
        <x:v>361</x:v>
      </x:c>
      <x:c r="C64" s="2" t="s">
        <x:v>24</x:v>
      </x:c>
      <x:c r="D64" s="2" t="s">
        <x:v>24</x:v>
      </x:c>
      <x:c r="E64" s="2" t="s">
        <x:v>24</x:v>
      </x:c>
      <x:c r="F64" s="2" t="s">
        <x:v>24</x:v>
      </x:c>
      <x:c r="G64" s="2" t="s">
        <x:v>397</x:v>
      </x:c>
      <x:c r="H64" s="2" t="s">
        <x:v>398</x:v>
      </x:c>
      <x:c r="I64" s="2" t="s">
        <x:v>24</x:v>
      </x:c>
      <x:c r="J64" s="2" t="s">
        <x:v>24</x:v>
      </x:c>
      <x:c r="K64" s="2" t="s">
        <x:v>24</x:v>
      </x:c>
      <x:c r="L64" s="2" t="s">
        <x:v>399</x:v>
      </x:c>
      <x:c r="M64" s="2" t="s">
        <x:v>400</x:v>
      </x:c>
      <x:c r="N64" s="3">
        <x:v>0.0</x:v>
      </x:c>
      <x:c r="O64" s="3">
        <x:v>0.0</x:v>
      </x:c>
      <x:c r="P64" s="3">
        <x:v>0.0</x:v>
      </x:c>
      <x:c r="Q64" s="3">
        <x:v>0.0</x:v>
      </x:c>
      <x:c r="R64" s="3" t="s">
        <x:v>401</x:v>
      </x:c>
      <x:c r="S64" s="2" t="s">
        <x:v>386</x:v>
      </x:c>
      <x:c r="T64" s="5" t="s">
        <x:v>387</x:v>
      </x:c>
    </x:row>
    <x:row r="65">
      <x:c r="A65" s="2" t="s">
        <x:v>402</x:v>
      </x:c>
      <x:c r="B65" s="2" t="s">
        <x:v>403</x:v>
      </x:c>
      <x:c r="C65" s="2" t="s">
        <x:v>24</x:v>
      </x:c>
      <x:c r="D65" s="2" t="s">
        <x:v>24</x:v>
      </x:c>
      <x:c r="E65" s="2" t="s">
        <x:v>109</x:v>
      </x:c>
      <x:c r="F65" s="2" t="s">
        <x:v>24</x:v>
      </x:c>
      <x:c r="G65" s="2" t="s">
        <x:v>397</x:v>
      </x:c>
      <x:c r="H65" s="2" t="s">
        <x:v>398</x:v>
      </x:c>
      <x:c r="I65" s="2" t="s">
        <x:v>24</x:v>
      </x:c>
      <x:c r="J65" s="2" t="s">
        <x:v>24</x:v>
      </x:c>
      <x:c r="K65" s="2" t="s">
        <x:v>24</x:v>
      </x:c>
      <x:c r="L65" s="2" t="s">
        <x:v>399</x:v>
      </x:c>
      <x:c r="M65" s="2" t="s">
        <x:v>400</x:v>
      </x:c>
      <x:c r="N65" s="3">
        <x:v>0.0</x:v>
      </x:c>
      <x:c r="O65" s="3">
        <x:v>0.0</x:v>
      </x:c>
      <x:c r="P65" s="3">
        <x:v>0.0</x:v>
      </x:c>
      <x:c r="Q65" s="3">
        <x:v>0.0</x:v>
      </x:c>
      <x:c r="R65" s="3" t="s">
        <x:v>404</x:v>
      </x:c>
      <x:c r="S65" s="2" t="s">
        <x:v>386</x:v>
      </x:c>
      <x:c r="T65" s="5" t="s">
        <x:v>387</x:v>
      </x:c>
    </x:row>
    <x:row r="66">
      <x:c r="A66" s="2" t="s">
        <x:v>405</x:v>
      </x:c>
      <x:c r="B66" s="2" t="s">
        <x:v>23</x:v>
      </x:c>
      <x:c r="C66" s="2" t="s">
        <x:v>24</x:v>
      </x:c>
      <x:c r="D66" s="2" t="s">
        <x:v>24</x:v>
      </x:c>
      <x:c r="E66" s="2" t="s">
        <x:v>406</x:v>
      </x:c>
      <x:c r="F66" s="2" t="s">
        <x:v>24</x:v>
      </x:c>
      <x:c r="G66" s="2" t="s">
        <x:v>397</x:v>
      </x:c>
      <x:c r="H66" s="2" t="s">
        <x:v>398</x:v>
      </x:c>
      <x:c r="I66" s="2" t="s">
        <x:v>24</x:v>
      </x:c>
      <x:c r="J66" s="2" t="s">
        <x:v>24</x:v>
      </x:c>
      <x:c r="K66" s="2" t="s">
        <x:v>24</x:v>
      </x:c>
      <x:c r="L66" s="2" t="s">
        <x:v>399</x:v>
      </x:c>
      <x:c r="M66" s="2" t="s">
        <x:v>400</x:v>
      </x:c>
      <x:c r="N66" s="3">
        <x:v>0.0</x:v>
      </x:c>
      <x:c r="O66" s="3">
        <x:v>0.0</x:v>
      </x:c>
      <x:c r="P66" s="3">
        <x:v>0.0</x:v>
      </x:c>
      <x:c r="Q66" s="3">
        <x:v>0.0</x:v>
      </x:c>
      <x:c r="R66" s="3" t="s">
        <x:v>407</x:v>
      </x:c>
      <x:c r="S66" s="2" t="s">
        <x:v>386</x:v>
      </x:c>
      <x:c r="T66" s="5" t="s">
        <x:v>387</x:v>
      </x:c>
    </x:row>
    <x:row r="67">
      <x:c r="A67" s="2" t="s">
        <x:v>408</x:v>
      </x:c>
      <x:c r="B67" s="2" t="s">
        <x:v>306</x:v>
      </x:c>
      <x:c r="C67" s="2" t="s">
        <x:v>24</x:v>
      </x:c>
      <x:c r="D67" s="2" t="s">
        <x:v>24</x:v>
      </x:c>
      <x:c r="E67" s="2" t="s">
        <x:v>24</x:v>
      </x:c>
      <x:c r="F67" s="2" t="s">
        <x:v>24</x:v>
      </x:c>
      <x:c r="G67" s="2" t="s">
        <x:v>409</x:v>
      </x:c>
      <x:c r="H67" s="2" t="s">
        <x:v>410</x:v>
      </x:c>
      <x:c r="I67" s="2" t="s">
        <x:v>24</x:v>
      </x:c>
      <x:c r="J67" s="2" t="s">
        <x:v>24</x:v>
      </x:c>
      <x:c r="K67" s="2" t="s">
        <x:v>24</x:v>
      </x:c>
      <x:c r="L67" s="2" t="s">
        <x:v>411</x:v>
      </x:c>
      <x:c r="M67" s="2" t="s">
        <x:v>412</x:v>
      </x:c>
      <x:c r="N67" s="3">
        <x:v>0.0</x:v>
      </x:c>
      <x:c r="O67" s="3">
        <x:v>0.0</x:v>
      </x:c>
      <x:c r="P67" s="3">
        <x:v>0.0</x:v>
      </x:c>
      <x:c r="Q67" s="3">
        <x:v>0.0</x:v>
      </x:c>
      <x:c r="R67" s="3" t="s">
        <x:v>413</x:v>
      </x:c>
      <x:c r="S67" s="2" t="s">
        <x:v>386</x:v>
      </x:c>
      <x:c r="T67" s="5" t="s">
        <x:v>387</x:v>
      </x:c>
    </x:row>
    <x:row r="68">
      <x:c r="A68" s="2" t="s">
        <x:v>414</x:v>
      </x:c>
      <x:c r="B68" s="2" t="s">
        <x:v>415</x:v>
      </x:c>
      <x:c r="C68" s="2" t="s">
        <x:v>24</x:v>
      </x:c>
      <x:c r="D68" s="2" t="s">
        <x:v>24</x:v>
      </x:c>
      <x:c r="E68" s="2" t="s">
        <x:v>416</x:v>
      </x:c>
      <x:c r="F68" s="2" t="s">
        <x:v>24</x:v>
      </x:c>
      <x:c r="G68" s="2" t="s">
        <x:v>409</x:v>
      </x:c>
      <x:c r="H68" s="2" t="s">
        <x:v>410</x:v>
      </x:c>
      <x:c r="I68" s="2" t="s">
        <x:v>24</x:v>
      </x:c>
      <x:c r="J68" s="2" t="s">
        <x:v>24</x:v>
      </x:c>
      <x:c r="K68" s="2" t="s">
        <x:v>24</x:v>
      </x:c>
      <x:c r="L68" s="2" t="s">
        <x:v>411</x:v>
      </x:c>
      <x:c r="M68" s="2" t="s">
        <x:v>417</x:v>
      </x:c>
      <x:c r="N68" s="3">
        <x:v>0.0</x:v>
      </x:c>
      <x:c r="O68" s="3">
        <x:v>0.0</x:v>
      </x:c>
      <x:c r="P68" s="3">
        <x:v>0.0</x:v>
      </x:c>
      <x:c r="Q68" s="3">
        <x:v>0.0</x:v>
      </x:c>
      <x:c r="R68" s="3" t="s">
        <x:v>160</x:v>
      </x:c>
      <x:c r="S68" s="2" t="s">
        <x:v>386</x:v>
      </x:c>
      <x:c r="T68" s="5" t="s">
        <x:v>387</x:v>
      </x:c>
    </x:row>
    <x:row r="69">
      <x:c r="A69" s="2" t="s">
        <x:v>418</x:v>
      </x:c>
      <x:c r="B69" s="2" t="s">
        <x:v>419</x:v>
      </x:c>
      <x:c r="C69" s="2" t="s">
        <x:v>24</x:v>
      </x:c>
      <x:c r="D69" s="2" t="s">
        <x:v>24</x:v>
      </x:c>
      <x:c r="E69" s="2" t="s">
        <x:v>420</x:v>
      </x:c>
      <x:c r="F69" s="2" t="s">
        <x:v>24</x:v>
      </x:c>
      <x:c r="G69" s="2" t="s">
        <x:v>409</x:v>
      </x:c>
      <x:c r="H69" s="2" t="s">
        <x:v>410</x:v>
      </x:c>
      <x:c r="I69" s="2" t="s">
        <x:v>24</x:v>
      </x:c>
      <x:c r="J69" s="2" t="s">
        <x:v>24</x:v>
      </x:c>
      <x:c r="K69" s="2" t="s">
        <x:v>24</x:v>
      </x:c>
      <x:c r="L69" s="2" t="s">
        <x:v>411</x:v>
      </x:c>
      <x:c r="M69" s="2" t="s">
        <x:v>417</x:v>
      </x:c>
      <x:c r="N69" s="3">
        <x:v>0.0</x:v>
      </x:c>
      <x:c r="O69" s="3">
        <x:v>0.0</x:v>
      </x:c>
      <x:c r="P69" s="3">
        <x:v>0.0</x:v>
      </x:c>
      <x:c r="Q69" s="3">
        <x:v>0.0</x:v>
      </x:c>
      <x:c r="R69" s="3" t="s">
        <x:v>421</x:v>
      </x:c>
      <x:c r="S69" s="2" t="s">
        <x:v>386</x:v>
      </x:c>
      <x:c r="T69" s="5" t="s">
        <x:v>387</x:v>
      </x:c>
    </x:row>
    <x:row r="70">
      <x:c r="A70" s="2" t="s">
        <x:v>422</x:v>
      </x:c>
      <x:c r="B70" s="2" t="s">
        <x:v>361</x:v>
      </x:c>
      <x:c r="C70" s="2" t="s">
        <x:v>24</x:v>
      </x:c>
      <x:c r="D70" s="2" t="s">
        <x:v>24</x:v>
      </x:c>
      <x:c r="E70" s="2" t="s">
        <x:v>24</x:v>
      </x:c>
      <x:c r="F70" s="2" t="s">
        <x:v>24</x:v>
      </x:c>
      <x:c r="G70" s="2" t="s">
        <x:v>376</x:v>
      </x:c>
      <x:c r="H70" s="2" t="s">
        <x:v>423</x:v>
      </x:c>
      <x:c r="I70" s="2" t="s">
        <x:v>24</x:v>
      </x:c>
      <x:c r="J70" s="2" t="s">
        <x:v>24</x:v>
      </x:c>
      <x:c r="K70" s="2" t="s">
        <x:v>24</x:v>
      </x:c>
      <x:c r="L70" s="2" t="s">
        <x:v>105</x:v>
      </x:c>
      <x:c r="M70" s="2" t="s">
        <x:v>424</x:v>
      </x:c>
      <x:c r="N70" s="3">
        <x:v>0.0</x:v>
      </x:c>
      <x:c r="O70" s="3">
        <x:v>0.0</x:v>
      </x:c>
      <x:c r="P70" s="3">
        <x:v>0.0</x:v>
      </x:c>
      <x:c r="Q70" s="3">
        <x:v>0.0</x:v>
      </x:c>
      <x:c r="R70" s="3" t="s">
        <x:v>145</x:v>
      </x:c>
      <x:c r="S70" s="2" t="s">
        <x:v>425</x:v>
      </x:c>
      <x:c r="T70" s="5" t="s">
        <x:v>426</x:v>
      </x:c>
    </x:row>
    <x:row r="71">
      <x:c r="A71" s="2" t="s">
        <x:v>427</x:v>
      </x:c>
      <x:c r="B71" s="2" t="s">
        <x:v>428</x:v>
      </x:c>
      <x:c r="C71" s="2" t="s">
        <x:v>24</x:v>
      </x:c>
      <x:c r="D71" s="2" t="s">
        <x:v>24</x:v>
      </x:c>
      <x:c r="E71" s="2" t="s">
        <x:v>429</x:v>
      </x:c>
      <x:c r="F71" s="2" t="s">
        <x:v>24</x:v>
      </x:c>
      <x:c r="G71" s="2" t="s">
        <x:v>376</x:v>
      </x:c>
      <x:c r="H71" s="2" t="s">
        <x:v>423</x:v>
      </x:c>
      <x:c r="I71" s="2" t="s">
        <x:v>24</x:v>
      </x:c>
      <x:c r="J71" s="2" t="s">
        <x:v>24</x:v>
      </x:c>
      <x:c r="K71" s="2" t="s">
        <x:v>24</x:v>
      </x:c>
      <x:c r="L71" s="2" t="s">
        <x:v>105</x:v>
      </x:c>
      <x:c r="M71" s="2" t="s">
        <x:v>430</x:v>
      </x:c>
      <x:c r="N71" s="3">
        <x:v>0.0</x:v>
      </x:c>
      <x:c r="O71" s="3">
        <x:v>0.0</x:v>
      </x:c>
      <x:c r="P71" s="3">
        <x:v>0.0</x:v>
      </x:c>
      <x:c r="Q71" s="3">
        <x:v>0.0</x:v>
      </x:c>
      <x:c r="R71" s="3" t="s">
        <x:v>431</x:v>
      </x:c>
      <x:c r="S71" s="2" t="s">
        <x:v>425</x:v>
      </x:c>
      <x:c r="T71" s="5" t="s">
        <x:v>426</x:v>
      </x:c>
    </x:row>
    <x:row r="72">
      <x:c r="A72" s="2" t="s">
        <x:v>432</x:v>
      </x:c>
      <x:c r="B72" s="2" t="s">
        <x:v>403</x:v>
      </x:c>
      <x:c r="C72" s="2" t="s">
        <x:v>24</x:v>
      </x:c>
      <x:c r="D72" s="2" t="s">
        <x:v>24</x:v>
      </x:c>
      <x:c r="E72" s="2" t="s">
        <x:v>109</x:v>
      </x:c>
      <x:c r="F72" s="2" t="s">
        <x:v>24</x:v>
      </x:c>
      <x:c r="G72" s="2" t="s">
        <x:v>376</x:v>
      </x:c>
      <x:c r="H72" s="2" t="s">
        <x:v>423</x:v>
      </x:c>
      <x:c r="I72" s="2" t="s">
        <x:v>24</x:v>
      </x:c>
      <x:c r="J72" s="2" t="s">
        <x:v>24</x:v>
      </x:c>
      <x:c r="K72" s="2" t="s">
        <x:v>24</x:v>
      </x:c>
      <x:c r="L72" s="2" t="s">
        <x:v>105</x:v>
      </x:c>
      <x:c r="M72" s="2" t="s">
        <x:v>433</x:v>
      </x:c>
      <x:c r="N72" s="3">
        <x:v>0.0</x:v>
      </x:c>
      <x:c r="O72" s="3">
        <x:v>0.0</x:v>
      </x:c>
      <x:c r="P72" s="3">
        <x:v>0.0</x:v>
      </x:c>
      <x:c r="Q72" s="3">
        <x:v>0.0</x:v>
      </x:c>
      <x:c r="R72" s="3" t="s">
        <x:v>434</x:v>
      </x:c>
      <x:c r="S72" s="2" t="s">
        <x:v>425</x:v>
      </x:c>
      <x:c r="T72" s="5" t="s">
        <x:v>426</x:v>
      </x:c>
    </x:row>
    <x:row r="73">
      <x:c r="A73" s="2" t="s">
        <x:v>435</x:v>
      </x:c>
      <x:c r="B73" s="2" t="s">
        <x:v>436</x:v>
      </x:c>
      <x:c r="C73" s="2" t="s">
        <x:v>24</x:v>
      </x:c>
      <x:c r="D73" s="2" t="s">
        <x:v>24</x:v>
      </x:c>
      <x:c r="E73" s="2" t="s">
        <x:v>116</x:v>
      </x:c>
      <x:c r="F73" s="2" t="s">
        <x:v>24</x:v>
      </x:c>
      <x:c r="G73" s="2" t="s">
        <x:v>376</x:v>
      </x:c>
      <x:c r="H73" s="2" t="s">
        <x:v>423</x:v>
      </x:c>
      <x:c r="I73" s="2" t="s">
        <x:v>24</x:v>
      </x:c>
      <x:c r="J73" s="2" t="s">
        <x:v>24</x:v>
      </x:c>
      <x:c r="K73" s="2" t="s">
        <x:v>24</x:v>
      </x:c>
      <x:c r="L73" s="2" t="s">
        <x:v>105</x:v>
      </x:c>
      <x:c r="M73" s="2" t="s">
        <x:v>437</x:v>
      </x:c>
      <x:c r="N73" s="3">
        <x:v>0.0</x:v>
      </x:c>
      <x:c r="O73" s="3">
        <x:v>0.0</x:v>
      </x:c>
      <x:c r="P73" s="3">
        <x:v>0.0</x:v>
      </x:c>
      <x:c r="Q73" s="3">
        <x:v>0.0</x:v>
      </x:c>
      <x:c r="R73" s="3" t="s">
        <x:v>438</x:v>
      </x:c>
      <x:c r="S73" s="2" t="s">
        <x:v>425</x:v>
      </x:c>
      <x:c r="T73" s="5" t="s">
        <x:v>426</x:v>
      </x:c>
    </x:row>
    <x:row r="74">
      <x:c r="A74" s="2" t="s">
        <x:v>439</x:v>
      </x:c>
      <x:c r="B74" s="2" t="s">
        <x:v>440</x:v>
      </x:c>
      <x:c r="C74" s="2" t="s">
        <x:v>24</x:v>
      </x:c>
      <x:c r="D74" s="2" t="s">
        <x:v>24</x:v>
      </x:c>
      <x:c r="E74" s="2" t="s">
        <x:v>24</x:v>
      </x:c>
      <x:c r="F74" s="2" t="s">
        <x:v>24</x:v>
      </x:c>
      <x:c r="G74" s="2" t="s">
        <x:v>441</x:v>
      </x:c>
      <x:c r="H74" s="2" t="s">
        <x:v>442</x:v>
      </x:c>
      <x:c r="I74" s="2" t="s">
        <x:v>24</x:v>
      </x:c>
      <x:c r="J74" s="2" t="s">
        <x:v>24</x:v>
      </x:c>
      <x:c r="K74" s="2" t="s">
        <x:v>24</x:v>
      </x:c>
      <x:c r="L74" s="2" t="s">
        <x:v>443</x:v>
      </x:c>
      <x:c r="M74" s="2" t="s">
        <x:v>444</x:v>
      </x:c>
      <x:c r="N74" s="3">
        <x:v>0.0</x:v>
      </x:c>
      <x:c r="O74" s="3">
        <x:v>0.0</x:v>
      </x:c>
      <x:c r="P74" s="3">
        <x:v>0.0</x:v>
      </x:c>
      <x:c r="Q74" s="8">
        <x:v>46054.0</x:v>
      </x:c>
      <x:c r="R74" s="3" t="s">
        <x:v>445</x:v>
      </x:c>
      <x:c r="S74" s="2" t="s">
        <x:v>446</x:v>
      </x:c>
      <x:c r="T74" s="5" t="s">
        <x:v>447</x:v>
      </x:c>
    </x:row>
    <x:row r="75">
      <x:c r="A75" s="2" t="s">
        <x:v>448</x:v>
      </x:c>
      <x:c r="B75" s="2" t="s">
        <x:v>449</x:v>
      </x:c>
      <x:c r="C75" s="2" t="s">
        <x:v>24</x:v>
      </x:c>
      <x:c r="D75" s="2" t="s">
        <x:v>24</x:v>
      </x:c>
      <x:c r="E75" s="2" t="s">
        <x:v>450</x:v>
      </x:c>
      <x:c r="F75" s="2" t="s">
        <x:v>24</x:v>
      </x:c>
      <x:c r="G75" s="2" t="s">
        <x:v>397</x:v>
      </x:c>
      <x:c r="H75" s="2" t="s">
        <x:v>451</x:v>
      </x:c>
      <x:c r="I75" s="2" t="s">
        <x:v>24</x:v>
      </x:c>
      <x:c r="J75" s="2" t="s">
        <x:v>24</x:v>
      </x:c>
      <x:c r="K75" s="2" t="s">
        <x:v>24</x:v>
      </x:c>
      <x:c r="L75" s="2" t="s">
        <x:v>443</x:v>
      </x:c>
      <x:c r="M75" s="2" t="s">
        <x:v>452</x:v>
      </x:c>
      <x:c r="N75" s="3">
        <x:v>0.0</x:v>
      </x:c>
      <x:c r="O75" s="3">
        <x:v>0.0</x:v>
      </x:c>
      <x:c r="P75" s="3">
        <x:v>0.0</x:v>
      </x:c>
      <x:c r="Q75" s="8">
        <x:v>46143.0</x:v>
      </x:c>
      <x:c r="R75" s="3" t="s">
        <x:v>453</x:v>
      </x:c>
      <x:c r="S75" s="2" t="s">
        <x:v>446</x:v>
      </x:c>
      <x:c r="T75" s="5" t="s">
        <x:v>447</x:v>
      </x:c>
    </x:row>
    <x:row r="76">
      <x:c r="A76" s="2" t="s">
        <x:v>454</x:v>
      </x:c>
      <x:c r="B76" s="2" t="s">
        <x:v>455</x:v>
      </x:c>
      <x:c r="C76" s="2" t="s">
        <x:v>24</x:v>
      </x:c>
      <x:c r="D76" s="2" t="s">
        <x:v>24</x:v>
      </x:c>
      <x:c r="E76" s="2" t="s">
        <x:v>456</x:v>
      </x:c>
      <x:c r="F76" s="2" t="s">
        <x:v>24</x:v>
      </x:c>
      <x:c r="G76" s="2" t="s">
        <x:v>457</x:v>
      </x:c>
      <x:c r="H76" s="2" t="s">
        <x:v>458</x:v>
      </x:c>
      <x:c r="I76" s="2" t="s">
        <x:v>24</x:v>
      </x:c>
      <x:c r="J76" s="2" t="s">
        <x:v>24</x:v>
      </x:c>
      <x:c r="K76" s="2" t="s">
        <x:v>24</x:v>
      </x:c>
      <x:c r="L76" s="2" t="s">
        <x:v>443</x:v>
      </x:c>
      <x:c r="M76" s="2" t="s">
        <x:v>459</x:v>
      </x:c>
      <x:c r="N76" s="3">
        <x:v>0.0</x:v>
      </x:c>
      <x:c r="O76" s="3">
        <x:v>0.0</x:v>
      </x:c>
      <x:c r="P76" s="3">
        <x:v>0.0</x:v>
      </x:c>
      <x:c r="Q76" s="8">
        <x:v>46082.0</x:v>
      </x:c>
      <x:c r="R76" s="3" t="s">
        <x:v>460</x:v>
      </x:c>
      <x:c r="S76" s="2" t="s">
        <x:v>446</x:v>
      </x:c>
      <x:c r="T76" s="5" t="s">
        <x:v>447</x:v>
      </x:c>
    </x:row>
    <x:row r="77">
      <x:c r="A77" s="2" t="s">
        <x:v>461</x:v>
      </x:c>
      <x:c r="B77" s="2" t="s">
        <x:v>462</x:v>
      </x:c>
      <x:c r="C77" s="2" t="s">
        <x:v>24</x:v>
      </x:c>
      <x:c r="D77" s="2" t="s">
        <x:v>24</x:v>
      </x:c>
      <x:c r="E77" s="2" t="s">
        <x:v>24</x:v>
      </x:c>
      <x:c r="F77" s="2" t="s">
        <x:v>24</x:v>
      </x:c>
      <x:c r="G77" s="2" t="s">
        <x:v>463</x:v>
      </x:c>
      <x:c r="H77" s="2" t="s">
        <x:v>464</x:v>
      </x:c>
      <x:c r="I77" s="2" t="s">
        <x:v>24</x:v>
      </x:c>
      <x:c r="J77" s="2" t="s">
        <x:v>24</x:v>
      </x:c>
      <x:c r="K77" s="2" t="s">
        <x:v>24</x:v>
      </x:c>
      <x:c r="L77" s="2" t="s">
        <x:v>443</x:v>
      </x:c>
      <x:c r="M77" s="2" t="s">
        <x:v>465</x:v>
      </x:c>
      <x:c r="N77" s="3">
        <x:v>0.0</x:v>
      </x:c>
      <x:c r="O77" s="3">
        <x:v>0.0</x:v>
      </x:c>
      <x:c r="P77" s="3">
        <x:v>0.0</x:v>
      </x:c>
      <x:c r="Q77" s="8">
        <x:v>46174.0</x:v>
      </x:c>
      <x:c r="R77" s="3" t="s">
        <x:v>407</x:v>
      </x:c>
      <x:c r="S77" s="2" t="s">
        <x:v>446</x:v>
      </x:c>
      <x:c r="T77" s="5" t="s">
        <x:v>447</x:v>
      </x:c>
    </x:row>
    <x:row r="78">
      <x:c r="A78" s="2" t="s">
        <x:v>466</x:v>
      </x:c>
      <x:c r="B78" s="2" t="s">
        <x:v>467</x:v>
      </x:c>
      <x:c r="C78" s="2" t="s">
        <x:v>24</x:v>
      </x:c>
      <x:c r="D78" s="2" t="s">
        <x:v>24</x:v>
      </x:c>
      <x:c r="E78" s="2" t="s">
        <x:v>468</x:v>
      </x:c>
      <x:c r="F78" s="2" t="s">
        <x:v>24</x:v>
      </x:c>
      <x:c r="G78" s="2" t="s">
        <x:v>469</x:v>
      </x:c>
      <x:c r="H78" s="2" t="s">
        <x:v>470</x:v>
      </x:c>
      <x:c r="I78" s="2" t="s">
        <x:v>24</x:v>
      </x:c>
      <x:c r="J78" s="2" t="s">
        <x:v>24</x:v>
      </x:c>
      <x:c r="K78" s="2" t="s">
        <x:v>24</x:v>
      </x:c>
      <x:c r="L78" s="2" t="s">
        <x:v>443</x:v>
      </x:c>
      <x:c r="M78" s="2" t="s">
        <x:v>471</x:v>
      </x:c>
      <x:c r="N78" s="3">
        <x:v>0.0</x:v>
      </x:c>
      <x:c r="O78" s="3">
        <x:v>0.0</x:v>
      </x:c>
      <x:c r="P78" s="3">
        <x:v>0.0</x:v>
      </x:c>
      <x:c r="Q78" s="8">
        <x:v>46204.0</x:v>
      </x:c>
      <x:c r="R78" s="3" t="s">
        <x:v>472</x:v>
      </x:c>
      <x:c r="S78" s="2" t="s">
        <x:v>446</x:v>
      </x:c>
      <x:c r="T78" s="5" t="s">
        <x:v>447</x:v>
      </x:c>
    </x:row>
    <x:row r="79">
      <x:c r="A79" s="2" t="s">
        <x:v>473</x:v>
      </x:c>
      <x:c r="B79" s="2" t="s">
        <x:v>474</x:v>
      </x:c>
      <x:c r="C79" s="2" t="s">
        <x:v>24</x:v>
      </x:c>
      <x:c r="D79" s="2" t="s">
        <x:v>24</x:v>
      </x:c>
      <x:c r="E79" s="2" t="s">
        <x:v>475</x:v>
      </x:c>
      <x:c r="F79" s="2" t="s">
        <x:v>24</x:v>
      </x:c>
      <x:c r="G79" s="2" t="s">
        <x:v>476</x:v>
      </x:c>
      <x:c r="H79" s="2" t="s">
        <x:v>477</x:v>
      </x:c>
      <x:c r="I79" s="2" t="s">
        <x:v>24</x:v>
      </x:c>
      <x:c r="J79" s="2" t="s">
        <x:v>24</x:v>
      </x:c>
      <x:c r="K79" s="2" t="s">
        <x:v>24</x:v>
      </x:c>
      <x:c r="L79" s="2" t="s">
        <x:v>443</x:v>
      </x:c>
      <x:c r="M79" s="2" t="s">
        <x:v>478</x:v>
      </x:c>
      <x:c r="N79" s="3">
        <x:v>0.0</x:v>
      </x:c>
      <x:c r="O79" s="3">
        <x:v>0.0</x:v>
      </x:c>
      <x:c r="P79" s="3">
        <x:v>0.0</x:v>
      </x:c>
      <x:c r="Q79" s="8">
        <x:v>46054.0</x:v>
      </x:c>
      <x:c r="R79" s="3" t="s">
        <x:v>479</x:v>
      </x:c>
      <x:c r="S79" s="2" t="s">
        <x:v>446</x:v>
      </x:c>
      <x:c r="T79" s="5" t="s">
        <x:v>447</x:v>
      </x:c>
    </x:row>
    <x:row r="80">
      <x:c r="A80" s="2" t="s">
        <x:v>480</x:v>
      </x:c>
      <x:c r="B80" s="2" t="s">
        <x:v>23</x:v>
      </x:c>
      <x:c r="C80" s="2" t="s">
        <x:v>24</x:v>
      </x:c>
      <x:c r="D80" s="2" t="s">
        <x:v>24</x:v>
      </x:c>
      <x:c r="E80" s="2" t="s">
        <x:v>24</x:v>
      </x:c>
      <x:c r="F80" s="2" t="s">
        <x:v>24</x:v>
      </x:c>
      <x:c r="G80" s="2" t="s">
        <x:v>481</x:v>
      </x:c>
      <x:c r="H80" s="2" t="s">
        <x:v>482</x:v>
      </x:c>
      <x:c r="I80" s="2" t="s">
        <x:v>24</x:v>
      </x:c>
      <x:c r="J80" s="2" t="s">
        <x:v>24</x:v>
      </x:c>
      <x:c r="K80" s="2" t="s">
        <x:v>24</x:v>
      </x:c>
      <x:c r="L80" s="2" t="s">
        <x:v>443</x:v>
      </x:c>
      <x:c r="M80" s="2" t="s">
        <x:v>483</x:v>
      </x:c>
      <x:c r="N80" s="3">
        <x:v>0.0</x:v>
      </x:c>
      <x:c r="O80" s="3">
        <x:v>0.0</x:v>
      </x:c>
      <x:c r="P80" s="3">
        <x:v>0.0</x:v>
      </x:c>
      <x:c r="Q80" s="8">
        <x:v>46143.0</x:v>
      </x:c>
      <x:c r="R80" s="3" t="s">
        <x:v>404</x:v>
      </x:c>
      <x:c r="S80" s="2" t="s">
        <x:v>446</x:v>
      </x:c>
      <x:c r="T80" s="5" t="s">
        <x:v>447</x:v>
      </x:c>
    </x:row>
    <x:row r="81">
      <x:c r="A81" s="2" t="s">
        <x:v>484</x:v>
      </x:c>
      <x:c r="B81" s="2" t="s">
        <x:v>485</x:v>
      </x:c>
      <x:c r="C81" s="2" t="s">
        <x:v>24</x:v>
      </x:c>
      <x:c r="D81" s="2" t="s">
        <x:v>24</x:v>
      </x:c>
      <x:c r="E81" s="2" t="s">
        <x:v>486</x:v>
      </x:c>
      <x:c r="F81" s="2" t="s">
        <x:v>24</x:v>
      </x:c>
      <x:c r="G81" s="2" t="s">
        <x:v>487</x:v>
      </x:c>
      <x:c r="H81" s="2" t="s">
        <x:v>488</x:v>
      </x:c>
      <x:c r="I81" s="2" t="s">
        <x:v>24</x:v>
      </x:c>
      <x:c r="J81" s="2" t="s">
        <x:v>24</x:v>
      </x:c>
      <x:c r="K81" s="2" t="s">
        <x:v>24</x:v>
      </x:c>
      <x:c r="L81" s="2" t="s">
        <x:v>443</x:v>
      </x:c>
      <x:c r="M81" s="2" t="s">
        <x:v>489</x:v>
      </x:c>
      <x:c r="N81" s="3">
        <x:v>0.0</x:v>
      </x:c>
      <x:c r="O81" s="3">
        <x:v>0.0</x:v>
      </x:c>
      <x:c r="P81" s="3">
        <x:v>0.0</x:v>
      </x:c>
      <x:c r="Q81" s="8">
        <x:v>46113.0</x:v>
      </x:c>
      <x:c r="R81" s="3" t="s">
        <x:v>490</x:v>
      </x:c>
      <x:c r="S81" s="2" t="s">
        <x:v>446</x:v>
      </x:c>
      <x:c r="T81" s="5" t="s">
        <x:v>447</x:v>
      </x:c>
    </x:row>
    <x:row r="82">
      <x:c r="A82" s="2" t="s">
        <x:v>491</x:v>
      </x:c>
      <x:c r="B82" s="2" t="s">
        <x:v>492</x:v>
      </x:c>
      <x:c r="C82" s="2" t="s">
        <x:v>24</x:v>
      </x:c>
      <x:c r="D82" s="2" t="s">
        <x:v>24</x:v>
      </x:c>
      <x:c r="E82" s="2" t="s">
        <x:v>493</x:v>
      </x:c>
      <x:c r="F82" s="2" t="s">
        <x:v>24</x:v>
      </x:c>
      <x:c r="G82" s="2" t="s">
        <x:v>494</x:v>
      </x:c>
      <x:c r="H82" s="2" t="s">
        <x:v>495</x:v>
      </x:c>
      <x:c r="I82" s="2" t="s">
        <x:v>24</x:v>
      </x:c>
      <x:c r="J82" s="2" t="s">
        <x:v>24</x:v>
      </x:c>
      <x:c r="K82" s="2" t="s">
        <x:v>24</x:v>
      </x:c>
      <x:c r="L82" s="2" t="s">
        <x:v>443</x:v>
      </x:c>
      <x:c r="M82" s="2" t="s">
        <x:v>496</x:v>
      </x:c>
      <x:c r="N82" s="3">
        <x:v>0.0</x:v>
      </x:c>
      <x:c r="O82" s="3">
        <x:v>0.0</x:v>
      </x:c>
      <x:c r="P82" s="3">
        <x:v>0.0</x:v>
      </x:c>
      <x:c r="Q82" s="8">
        <x:v>46023.0</x:v>
      </x:c>
      <x:c r="R82" s="3" t="s">
        <x:v>497</x:v>
      </x:c>
      <x:c r="S82" s="2" t="s">
        <x:v>446</x:v>
      </x:c>
      <x:c r="T82" s="5" t="s">
        <x:v>447</x:v>
      </x:c>
    </x:row>
    <x:row r="83">
      <x:c r="A83" s="10" t="s">
        <x:v>498</x:v>
      </x:c>
      <x:c r="B83" s="2" t="s">
        <x:v>499</x:v>
      </x:c>
      <x:c r="C83" s="2" t="s">
        <x:v>24</x:v>
      </x:c>
      <x:c r="D83" s="2" t="s">
        <x:v>24</x:v>
      </x:c>
      <x:c r="E83" s="2" t="s">
        <x:v>24</x:v>
      </x:c>
      <x:c r="F83" s="2" t="s">
        <x:v>24</x:v>
      </x:c>
      <x:c r="G83" s="2" t="s">
        <x:v>500</x:v>
      </x:c>
      <x:c r="H83" s="2" t="s">
        <x:v>501</x:v>
      </x:c>
      <x:c r="I83" s="2" t="s">
        <x:v>24</x:v>
      </x:c>
      <x:c r="J83" s="2" t="s">
        <x:v>24</x:v>
      </x:c>
      <x:c r="K83" s="2" t="s">
        <x:v>24</x:v>
      </x:c>
      <x:c r="L83" s="2" t="s">
        <x:v>502</x:v>
      </x:c>
      <x:c r="M83" s="2" t="s">
        <x:v>503</x:v>
      </x:c>
      <x:c r="N83" s="3">
        <x:v>0.0</x:v>
      </x:c>
      <x:c r="O83" s="3">
        <x:v>0.0</x:v>
      </x:c>
      <x:c r="P83" s="3">
        <x:v>0.0</x:v>
      </x:c>
      <x:c r="Q83" s="3">
        <x:v>0.0</x:v>
      </x:c>
      <x:c r="R83" s="3" t="s">
        <x:v>504</x:v>
      </x:c>
      <x:c r="S83" s="2" t="s">
        <x:v>505</x:v>
      </x:c>
      <x:c r="T83" s="5" t="s">
        <x:v>506</x:v>
      </x:c>
    </x:row>
    <x:row r="84">
      <x:c r="A84" s="2" t="s">
        <x:v>507</x:v>
      </x:c>
      <x:c r="B84" s="2" t="s">
        <x:v>508</x:v>
      </x:c>
      <x:c r="C84" s="2" t="s">
        <x:v>24</x:v>
      </x:c>
      <x:c r="D84" s="2" t="s">
        <x:v>24</x:v>
      </x:c>
      <x:c r="E84" s="2" t="s">
        <x:v>509</x:v>
      </x:c>
      <x:c r="F84" s="2" t="s">
        <x:v>24</x:v>
      </x:c>
      <x:c r="G84" s="2" t="s">
        <x:v>500</x:v>
      </x:c>
      <x:c r="H84" s="2" t="s">
        <x:v>501</x:v>
      </x:c>
      <x:c r="I84" s="2" t="s">
        <x:v>24</x:v>
      </x:c>
      <x:c r="J84" s="2" t="s">
        <x:v>24</x:v>
      </x:c>
      <x:c r="K84" s="2" t="s">
        <x:v>24</x:v>
      </x:c>
      <x:c r="L84" s="2" t="s">
        <x:v>502</x:v>
      </x:c>
      <x:c r="M84" s="2" t="s">
        <x:v>503</x:v>
      </x:c>
      <x:c r="N84" s="3">
        <x:v>0.0</x:v>
      </x:c>
      <x:c r="O84" s="3">
        <x:v>0.0</x:v>
      </x:c>
      <x:c r="P84" s="3">
        <x:v>0.0</x:v>
      </x:c>
      <x:c r="Q84" s="3">
        <x:v>0.0</x:v>
      </x:c>
      <x:c r="R84" s="3" t="s">
        <x:v>510</x:v>
      </x:c>
      <x:c r="S84" s="2" t="s">
        <x:v>505</x:v>
      </x:c>
      <x:c r="T84" s="5" t="s">
        <x:v>506</x:v>
      </x:c>
    </x:row>
    <x:row r="85">
      <x:c r="A85" s="2" t="s">
        <x:v>511</x:v>
      </x:c>
      <x:c r="B85" s="2" t="s">
        <x:v>512</x:v>
      </x:c>
      <x:c r="C85" s="2" t="s">
        <x:v>24</x:v>
      </x:c>
      <x:c r="D85" s="2" t="s">
        <x:v>24</x:v>
      </x:c>
      <x:c r="E85" s="2" t="s">
        <x:v>513</x:v>
      </x:c>
      <x:c r="F85" s="2" t="s">
        <x:v>24</x:v>
      </x:c>
      <x:c r="G85" s="2" t="s">
        <x:v>500</x:v>
      </x:c>
      <x:c r="H85" s="2" t="s">
        <x:v>501</x:v>
      </x:c>
      <x:c r="I85" s="2" t="s">
        <x:v>24</x:v>
      </x:c>
      <x:c r="J85" s="2" t="s">
        <x:v>24</x:v>
      </x:c>
      <x:c r="K85" s="2" t="s">
        <x:v>24</x:v>
      </x:c>
      <x:c r="L85" s="2" t="s">
        <x:v>502</x:v>
      </x:c>
      <x:c r="M85" s="2" t="s">
        <x:v>503</x:v>
      </x:c>
      <x:c r="N85" s="3">
        <x:v>0.0</x:v>
      </x:c>
      <x:c r="O85" s="3">
        <x:v>0.0</x:v>
      </x:c>
      <x:c r="P85" s="3">
        <x:v>0.0</x:v>
      </x:c>
      <x:c r="Q85" s="3">
        <x:v>0.0</x:v>
      </x:c>
      <x:c r="R85" s="3" t="s">
        <x:v>514</x:v>
      </x:c>
      <x:c r="S85" s="2" t="s">
        <x:v>505</x:v>
      </x:c>
      <x:c r="T85" s="5" t="s">
        <x:v>506</x:v>
      </x:c>
    </x:row>
    <x:row r="86">
      <x:c r="A86" s="2" t="s">
        <x:v>515</x:v>
      </x:c>
      <x:c r="B86" s="2" t="s">
        <x:v>516</x:v>
      </x:c>
      <x:c r="C86" s="2" t="s">
        <x:v>24</x:v>
      </x:c>
      <x:c r="D86" s="2" t="s">
        <x:v>24</x:v>
      </x:c>
      <x:c r="E86" s="2" t="s">
        <x:v>517</x:v>
      </x:c>
      <x:c r="F86" s="2" t="s">
        <x:v>24</x:v>
      </x:c>
      <x:c r="G86" s="2" t="s">
        <x:v>500</x:v>
      </x:c>
      <x:c r="H86" s="2" t="s">
        <x:v>501</x:v>
      </x:c>
      <x:c r="I86" s="2" t="s">
        <x:v>24</x:v>
      </x:c>
      <x:c r="J86" s="2" t="s">
        <x:v>24</x:v>
      </x:c>
      <x:c r="K86" s="2" t="s">
        <x:v>24</x:v>
      </x:c>
      <x:c r="L86" s="2" t="s">
        <x:v>502</x:v>
      </x:c>
      <x:c r="M86" s="2" t="s">
        <x:v>503</x:v>
      </x:c>
      <x:c r="N86" s="3">
        <x:v>0.0</x:v>
      </x:c>
      <x:c r="O86" s="3">
        <x:v>0.0</x:v>
      </x:c>
      <x:c r="P86" s="3">
        <x:v>0.0</x:v>
      </x:c>
      <x:c r="Q86" s="3">
        <x:v>0.0</x:v>
      </x:c>
      <x:c r="R86" s="3" t="s">
        <x:v>518</x:v>
      </x:c>
      <x:c r="S86" s="2" t="s">
        <x:v>505</x:v>
      </x:c>
      <x:c r="T86" s="5" t="s">
        <x:v>506</x:v>
      </x:c>
    </x:row>
    <x:row r="87">
      <x:c r="A87" s="2" t="s">
        <x:v>519</x:v>
      </x:c>
      <x:c r="B87" s="2" t="s">
        <x:v>520</x:v>
      </x:c>
      <x:c r="C87" s="2" t="s">
        <x:v>24</x:v>
      </x:c>
      <x:c r="D87" s="2" t="s">
        <x:v>24</x:v>
      </x:c>
      <x:c r="E87" s="2" t="s">
        <x:v>521</x:v>
      </x:c>
      <x:c r="F87" s="2" t="s">
        <x:v>24</x:v>
      </x:c>
      <x:c r="G87" s="2" t="s">
        <x:v>500</x:v>
      </x:c>
      <x:c r="H87" s="2" t="s">
        <x:v>501</x:v>
      </x:c>
      <x:c r="I87" s="2" t="s">
        <x:v>24</x:v>
      </x:c>
      <x:c r="J87" s="2" t="s">
        <x:v>24</x:v>
      </x:c>
      <x:c r="K87" s="2" t="s">
        <x:v>24</x:v>
      </x:c>
      <x:c r="L87" s="2" t="s">
        <x:v>502</x:v>
      </x:c>
      <x:c r="M87" s="2" t="s">
        <x:v>503</x:v>
      </x:c>
      <x:c r="N87" s="3">
        <x:v>0.0</x:v>
      </x:c>
      <x:c r="O87" s="3">
        <x:v>0.0</x:v>
      </x:c>
      <x:c r="P87" s="3">
        <x:v>0.0</x:v>
      </x:c>
      <x:c r="Q87" s="3">
        <x:v>0.0</x:v>
      </x:c>
      <x:c r="R87" s="3" t="s">
        <x:v>522</x:v>
      </x:c>
      <x:c r="S87" s="2" t="s">
        <x:v>505</x:v>
      </x:c>
      <x:c r="T87" s="5" t="s">
        <x:v>506</x:v>
      </x:c>
    </x:row>
    <x:row r="88">
      <x:c r="A88" s="2" t="s">
        <x:v>523</x:v>
      </x:c>
      <x:c r="B88" s="2" t="s">
        <x:v>524</x:v>
      </x:c>
      <x:c r="C88" s="2" t="s">
        <x:v>24</x:v>
      </x:c>
      <x:c r="D88" s="2" t="s">
        <x:v>24</x:v>
      </x:c>
      <x:c r="E88" s="2" t="s">
        <x:v>24</x:v>
      </x:c>
      <x:c r="F88" s="2" t="s">
        <x:v>24</x:v>
      </x:c>
      <x:c r="G88" s="2" t="s">
        <x:v>525</x:v>
      </x:c>
      <x:c r="H88" s="2" t="s">
        <x:v>526</x:v>
      </x:c>
      <x:c r="I88" s="2" t="s">
        <x:v>24</x:v>
      </x:c>
      <x:c r="J88" s="2" t="s">
        <x:v>24</x:v>
      </x:c>
      <x:c r="K88" s="2" t="s">
        <x:v>24</x:v>
      </x:c>
      <x:c r="L88" s="2" t="s">
        <x:v>527</x:v>
      </x:c>
      <x:c r="M88" s="2" t="s">
        <x:v>24</x:v>
      </x:c>
      <x:c r="N88" s="3">
        <x:v>0.0</x:v>
      </x:c>
      <x:c r="O88" s="3">
        <x:v>0.0</x:v>
      </x:c>
      <x:c r="P88" s="3">
        <x:v>0.0</x:v>
      </x:c>
      <x:c r="Q88" s="3">
        <x:v>0.0</x:v>
      </x:c>
      <x:c r="R88" s="3" t="s">
        <x:v>528</x:v>
      </x:c>
      <x:c r="S88" s="2" t="s">
        <x:v>529</x:v>
      </x:c>
      <x:c r="T88" s="4" t="s">
        <x:v>530</x:v>
      </x:c>
    </x:row>
    <x:row r="89">
      <x:c r="A89" s="2" t="s">
        <x:v>531</x:v>
      </x:c>
      <x:c r="B89" s="2" t="s">
        <x:v>524</x:v>
      </x:c>
      <x:c r="C89" s="2" t="s">
        <x:v>24</x:v>
      </x:c>
      <x:c r="D89" s="2" t="s">
        <x:v>24</x:v>
      </x:c>
      <x:c r="E89" s="2" t="s">
        <x:v>24</x:v>
      </x:c>
      <x:c r="F89" s="2" t="s">
        <x:v>24</x:v>
      </x:c>
      <x:c r="G89" s="2" t="s">
        <x:v>525</x:v>
      </x:c>
      <x:c r="H89" s="2" t="s">
        <x:v>532</x:v>
      </x:c>
      <x:c r="I89" s="2" t="s">
        <x:v>533</x:v>
      </x:c>
      <x:c r="J89" s="2" t="s">
        <x:v>24</x:v>
      </x:c>
      <x:c r="K89" s="2" t="s">
        <x:v>24</x:v>
      </x:c>
      <x:c r="L89" s="2" t="s">
        <x:v>534</x:v>
      </x:c>
      <x:c r="M89" s="2" t="s">
        <x:v>24</x:v>
      </x:c>
      <x:c r="N89" s="3">
        <x:v>0.0</x:v>
      </x:c>
      <x:c r="O89" s="3">
        <x:v>0.0</x:v>
      </x:c>
      <x:c r="P89" s="3">
        <x:v>0.0</x:v>
      </x:c>
      <x:c r="Q89" s="3">
        <x:v>0.0</x:v>
      </x:c>
      <x:c r="R89" s="3" t="s">
        <x:v>535</x:v>
      </x:c>
      <x:c r="S89" s="2" t="s">
        <x:v>529</x:v>
      </x:c>
      <x:c r="T89" s="5" t="s">
        <x:v>530</x:v>
      </x:c>
    </x:row>
    <x:row r="90">
      <x:c r="A90" s="2" t="s">
        <x:v>536</x:v>
      </x:c>
      <x:c r="B90" s="2" t="s">
        <x:v>524</x:v>
      </x:c>
      <x:c r="C90" s="2" t="s">
        <x:v>537</x:v>
      </x:c>
      <x:c r="D90" s="2" t="s">
        <x:v>24</x:v>
      </x:c>
      <x:c r="E90" s="2" t="s">
        <x:v>24</x:v>
      </x:c>
      <x:c r="F90" s="2" t="s">
        <x:v>24</x:v>
      </x:c>
      <x:c r="G90" s="2" t="s">
        <x:v>525</x:v>
      </x:c>
      <x:c r="H90" s="2" t="s">
        <x:v>532</x:v>
      </x:c>
      <x:c r="I90" s="2" t="s">
        <x:v>533</x:v>
      </x:c>
      <x:c r="J90" s="2" t="s">
        <x:v>24</x:v>
      </x:c>
      <x:c r="K90" s="2" t="s">
        <x:v>24</x:v>
      </x:c>
      <x:c r="L90" s="2" t="s">
        <x:v>534</x:v>
      </x:c>
      <x:c r="M90" s="2" t="s">
        <x:v>538</x:v>
      </x:c>
      <x:c r="N90" s="3">
        <x:v>0.0</x:v>
      </x:c>
      <x:c r="O90" s="3">
        <x:v>0.0</x:v>
      </x:c>
      <x:c r="P90" s="3">
        <x:v>0.0</x:v>
      </x:c>
      <x:c r="Q90" s="3">
        <x:v>0.0</x:v>
      </x:c>
      <x:c r="R90" s="3" t="s">
        <x:v>539</x:v>
      </x:c>
      <x:c r="S90" s="2" t="s">
        <x:v>529</x:v>
      </x:c>
      <x:c r="T90" s="5" t="s">
        <x:v>530</x:v>
      </x:c>
    </x:row>
    <x:row r="91">
      <x:c r="A91" s="2" t="s">
        <x:v>540</x:v>
      </x:c>
      <x:c r="B91" s="2" t="s">
        <x:v>524</x:v>
      </x:c>
      <x:c r="C91" s="2" t="s">
        <x:v>541</x:v>
      </x:c>
      <x:c r="D91" s="2" t="s">
        <x:v>24</x:v>
      </x:c>
      <x:c r="E91" s="2" t="s">
        <x:v>24</x:v>
      </x:c>
      <x:c r="F91" s="2" t="s">
        <x:v>24</x:v>
      </x:c>
      <x:c r="G91" s="2" t="s">
        <x:v>525</x:v>
      </x:c>
      <x:c r="H91" s="2" t="s">
        <x:v>532</x:v>
      </x:c>
      <x:c r="I91" s="2" t="s">
        <x:v>533</x:v>
      </x:c>
      <x:c r="J91" s="2" t="s">
        <x:v>24</x:v>
      </x:c>
      <x:c r="K91" s="2" t="s">
        <x:v>24</x:v>
      </x:c>
      <x:c r="L91" s="2" t="s">
        <x:v>534</x:v>
      </x:c>
      <x:c r="M91" s="2" t="s">
        <x:v>538</x:v>
      </x:c>
      <x:c r="N91" s="3">
        <x:v>0.0</x:v>
      </x:c>
      <x:c r="O91" s="3">
        <x:v>0.0</x:v>
      </x:c>
      <x:c r="P91" s="3">
        <x:v>0.0</x:v>
      </x:c>
      <x:c r="Q91" s="3">
        <x:v>0.0</x:v>
      </x:c>
      <x:c r="R91" s="3" t="s">
        <x:v>542</x:v>
      </x:c>
      <x:c r="S91" s="2" t="s">
        <x:v>529</x:v>
      </x:c>
      <x:c r="T91" s="5" t="s">
        <x:v>530</x:v>
      </x:c>
    </x:row>
    <x:row r="92">
      <x:c r="A92" s="2" t="s">
        <x:v>543</x:v>
      </x:c>
      <x:c r="B92" s="2" t="s">
        <x:v>524</x:v>
      </x:c>
      <x:c r="C92" s="2" t="s">
        <x:v>544</x:v>
      </x:c>
      <x:c r="D92" s="2" t="s">
        <x:v>24</x:v>
      </x:c>
      <x:c r="E92" s="2" t="s">
        <x:v>24</x:v>
      </x:c>
      <x:c r="F92" s="2" t="s">
        <x:v>24</x:v>
      </x:c>
      <x:c r="G92" s="2" t="s">
        <x:v>525</x:v>
      </x:c>
      <x:c r="H92" s="2" t="s">
        <x:v>532</x:v>
      </x:c>
      <x:c r="I92" s="2" t="s">
        <x:v>533</x:v>
      </x:c>
      <x:c r="J92" s="2" t="s">
        <x:v>24</x:v>
      </x:c>
      <x:c r="K92" s="2" t="s">
        <x:v>24</x:v>
      </x:c>
      <x:c r="L92" s="2" t="s">
        <x:v>534</x:v>
      </x:c>
      <x:c r="M92" s="2" t="s">
        <x:v>545</x:v>
      </x:c>
      <x:c r="N92" s="3">
        <x:v>0.0</x:v>
      </x:c>
      <x:c r="O92" s="3">
        <x:v>0.0</x:v>
      </x:c>
      <x:c r="P92" s="3">
        <x:v>0.0</x:v>
      </x:c>
      <x:c r="Q92" s="3">
        <x:v>0.0</x:v>
      </x:c>
      <x:c r="R92" s="3" t="s">
        <x:v>546</x:v>
      </x:c>
      <x:c r="S92" s="2" t="s">
        <x:v>529</x:v>
      </x:c>
      <x:c r="T92" s="5" t="s">
        <x:v>530</x:v>
      </x:c>
    </x:row>
    <x:row r="93">
      <x:c r="A93" s="2" t="s">
        <x:v>547</x:v>
      </x:c>
      <x:c r="B93" s="2" t="s">
        <x:v>548</x:v>
      </x:c>
      <x:c r="C93" s="2" t="s">
        <x:v>43</x:v>
      </x:c>
      <x:c r="D93" s="2" t="s">
        <x:v>43</x:v>
      </x:c>
      <x:c r="E93" s="2" t="s">
        <x:v>24</x:v>
      </x:c>
      <x:c r="F93" s="2" t="s">
        <x:v>24</x:v>
      </x:c>
      <x:c r="G93" s="2" t="s">
        <x:v>549</x:v>
      </x:c>
      <x:c r="H93" s="2" t="s">
        <x:v>550</x:v>
      </x:c>
      <x:c r="I93" s="2" t="s">
        <x:v>24</x:v>
      </x:c>
      <x:c r="J93" s="2" t="s">
        <x:v>24</x:v>
      </x:c>
      <x:c r="K93" s="2" t="s">
        <x:v>24</x:v>
      </x:c>
      <x:c r="L93" s="2" t="s">
        <x:v>551</x:v>
      </x:c>
      <x:c r="M93" s="2" t="s">
        <x:v>24</x:v>
      </x:c>
      <x:c r="N93" s="3">
        <x:v>0.0</x:v>
      </x:c>
      <x:c r="O93" s="3">
        <x:v>0.0</x:v>
      </x:c>
      <x:c r="P93" s="3">
        <x:v>0.0</x:v>
      </x:c>
      <x:c r="Q93" s="3">
        <x:v>0.0</x:v>
      </x:c>
      <x:c r="R93" s="3" t="s">
        <x:v>552</x:v>
      </x:c>
      <x:c r="S93" s="2" t="s">
        <x:v>553</x:v>
      </x:c>
      <x:c r="T93" s="5" t="s">
        <x:v>554</x:v>
      </x:c>
    </x:row>
    <x:row r="94">
      <x:c r="A94" s="2" t="s">
        <x:v>555</x:v>
      </x:c>
      <x:c r="B94" s="2" t="s">
        <x:v>556</x:v>
      </x:c>
      <x:c r="C94" s="2" t="s">
        <x:v>557</x:v>
      </x:c>
      <x:c r="D94" s="2" t="s">
        <x:v>558</x:v>
      </x:c>
      <x:c r="E94" s="2" t="s">
        <x:v>24</x:v>
      </x:c>
      <x:c r="F94" s="2" t="s">
        <x:v>24</x:v>
      </x:c>
      <x:c r="G94" s="2" t="s">
        <x:v>559</x:v>
      </x:c>
      <x:c r="H94" s="2" t="s">
        <x:v>560</x:v>
      </x:c>
      <x:c r="I94" s="2" t="s">
        <x:v>24</x:v>
      </x:c>
      <x:c r="J94" s="2" t="s">
        <x:v>24</x:v>
      </x:c>
      <x:c r="K94" s="2" t="s">
        <x:v>24</x:v>
      </x:c>
      <x:c r="L94" s="2" t="s">
        <x:v>551</x:v>
      </x:c>
      <x:c r="M94" s="2" t="s">
        <x:v>24</x:v>
      </x:c>
      <x:c r="N94" s="3">
        <x:v>0.0</x:v>
      </x:c>
      <x:c r="O94" s="3">
        <x:v>0.0</x:v>
      </x:c>
      <x:c r="P94" s="3">
        <x:v>0.0</x:v>
      </x:c>
      <x:c r="Q94" s="3">
        <x:v>0.0</x:v>
      </x:c>
      <x:c r="R94" s="3" t="s">
        <x:v>561</x:v>
      </x:c>
      <x:c r="S94" s="2" t="s">
        <x:v>553</x:v>
      </x:c>
      <x:c r="T94" s="5" t="s">
        <x:v>554</x:v>
      </x:c>
    </x:row>
    <x:row r="95">
      <x:c r="A95" s="2" t="s">
        <x:v>562</x:v>
      </x:c>
      <x:c r="B95" s="2" t="s">
        <x:v>563</x:v>
      </x:c>
      <x:c r="C95" s="2" t="s">
        <x:v>564</x:v>
      </x:c>
      <x:c r="D95" s="2" t="s">
        <x:v>565</x:v>
      </x:c>
      <x:c r="E95" s="2" t="s">
        <x:v>24</x:v>
      </x:c>
      <x:c r="F95" s="2" t="s">
        <x:v>24</x:v>
      </x:c>
      <x:c r="G95" s="2" t="s">
        <x:v>566</x:v>
      </x:c>
      <x:c r="H95" s="2" t="s">
        <x:v>567</x:v>
      </x:c>
      <x:c r="I95" s="2" t="s">
        <x:v>24</x:v>
      </x:c>
      <x:c r="J95" s="2" t="s">
        <x:v>24</x:v>
      </x:c>
      <x:c r="K95" s="2" t="s">
        <x:v>24</x:v>
      </x:c>
      <x:c r="L95" s="2" t="s">
        <x:v>551</x:v>
      </x:c>
      <x:c r="M95" s="2" t="s">
        <x:v>24</x:v>
      </x:c>
      <x:c r="N95" s="3">
        <x:v>0.0</x:v>
      </x:c>
      <x:c r="O95" s="3">
        <x:v>0.0</x:v>
      </x:c>
      <x:c r="P95" s="3">
        <x:v>0.0</x:v>
      </x:c>
      <x:c r="Q95" s="3">
        <x:v>0.0</x:v>
      </x:c>
      <x:c r="R95" s="3" t="s">
        <x:v>552</x:v>
      </x:c>
      <x:c r="S95" s="2" t="s">
        <x:v>553</x:v>
      </x:c>
      <x:c r="T95" s="5" t="s">
        <x:v>554</x:v>
      </x:c>
    </x:row>
    <x:row r="96">
      <x:c r="A96" s="2" t="s">
        <x:v>568</x:v>
      </x:c>
      <x:c r="B96" s="2" t="s">
        <x:v>569</x:v>
      </x:c>
      <x:c r="C96" s="2" t="s">
        <x:v>570</x:v>
      </x:c>
      <x:c r="D96" s="2" t="s">
        <x:v>571</x:v>
      </x:c>
      <x:c r="E96" s="2" t="s">
        <x:v>24</x:v>
      </x:c>
      <x:c r="F96" s="2" t="s">
        <x:v>24</x:v>
      </x:c>
      <x:c r="G96" s="2" t="s">
        <x:v>572</x:v>
      </x:c>
      <x:c r="H96" s="2" t="s">
        <x:v>573</x:v>
      </x:c>
      <x:c r="I96" s="2" t="s">
        <x:v>24</x:v>
      </x:c>
      <x:c r="J96" s="2" t="s">
        <x:v>24</x:v>
      </x:c>
      <x:c r="K96" s="2" t="s">
        <x:v>24</x:v>
      </x:c>
      <x:c r="L96" s="2" t="s">
        <x:v>551</x:v>
      </x:c>
      <x:c r="M96" s="2" t="s">
        <x:v>24</x:v>
      </x:c>
      <x:c r="N96" s="3">
        <x:v>0.0</x:v>
      </x:c>
      <x:c r="O96" s="3">
        <x:v>0.0</x:v>
      </x:c>
      <x:c r="P96" s="3">
        <x:v>0.0</x:v>
      </x:c>
      <x:c r="Q96" s="3">
        <x:v>0.0</x:v>
      </x:c>
      <x:c r="R96" s="3" t="s">
        <x:v>574</x:v>
      </x:c>
      <x:c r="S96" s="2" t="s">
        <x:v>553</x:v>
      </x:c>
      <x:c r="T96" s="5" t="s">
        <x:v>554</x:v>
      </x:c>
    </x:row>
    <x:row r="97">
      <x:c r="A97" s="2" t="s">
        <x:v>575</x:v>
      </x:c>
      <x:c r="B97" s="2" t="s">
        <x:v>527</x:v>
      </x:c>
      <x:c r="C97" s="2" t="s">
        <x:v>576</x:v>
      </x:c>
      <x:c r="D97" s="2" t="s">
        <x:v>112</x:v>
      </x:c>
      <x:c r="E97" s="2" t="s">
        <x:v>24</x:v>
      </x:c>
      <x:c r="F97" s="2" t="s">
        <x:v>24</x:v>
      </x:c>
      <x:c r="G97" s="2" t="s">
        <x:v>577</x:v>
      </x:c>
      <x:c r="H97" s="2" t="s">
        <x:v>578</x:v>
      </x:c>
      <x:c r="I97" s="2" t="s">
        <x:v>24</x:v>
      </x:c>
      <x:c r="J97" s="2" t="s">
        <x:v>24</x:v>
      </x:c>
      <x:c r="K97" s="2" t="s">
        <x:v>24</x:v>
      </x:c>
      <x:c r="L97" s="2" t="s">
        <x:v>551</x:v>
      </x:c>
      <x:c r="M97" s="2" t="s">
        <x:v>24</x:v>
      </x:c>
      <x:c r="N97" s="3">
        <x:v>0.0</x:v>
      </x:c>
      <x:c r="O97" s="3">
        <x:v>0.0</x:v>
      </x:c>
      <x:c r="P97" s="3">
        <x:v>0.0</x:v>
      </x:c>
      <x:c r="Q97" s="3">
        <x:v>0.0</x:v>
      </x:c>
      <x:c r="R97" s="3" t="s">
        <x:v>579</x:v>
      </x:c>
      <x:c r="S97" s="2" t="s">
        <x:v>553</x:v>
      </x:c>
      <x:c r="T97" s="5" t="s">
        <x:v>554</x:v>
      </x:c>
    </x:row>
    <x:row r="98">
      <x:c r="A98" s="2" t="s">
        <x:v>580</x:v>
      </x:c>
      <x:c r="B98" s="3">
        <x:v>400.0</x:v>
      </x:c>
      <x:c r="C98" s="11" t="s">
        <x:v>43</x:v>
      </x:c>
      <x:c r="D98" s="11" t="s">
        <x:v>43</x:v>
      </x:c>
      <x:c r="E98" s="11" t="s">
        <x:v>43</x:v>
      </x:c>
      <x:c r="F98" s="11" t="s">
        <x:v>43</x:v>
      </x:c>
      <x:c r="G98" s="3">
        <x:v>1000.0</x:v>
      </x:c>
      <x:c r="H98" s="3">
        <x:v>710.0</x:v>
      </x:c>
      <x:c r="I98" s="3">
        <x:v>0.0</x:v>
      </x:c>
      <x:c r="J98" s="2" t="s">
        <x:v>24</x:v>
      </x:c>
      <x:c r="K98" s="2" t="s">
        <x:v>24</x:v>
      </x:c>
      <x:c r="L98" s="3" t="s">
        <x:v>581</x:v>
      </x:c>
      <x:c r="M98" s="2" t="s">
        <x:v>582</x:v>
      </x:c>
      <x:c r="N98" s="3">
        <x:v>0.0</x:v>
      </x:c>
      <x:c r="O98" s="3">
        <x:v>0.0</x:v>
      </x:c>
      <x:c r="P98" s="3">
        <x:v>0.0</x:v>
      </x:c>
      <x:c r="Q98" s="3">
        <x:v>0.0</x:v>
      </x:c>
      <x:c r="R98" s="2" t="s">
        <x:v>583</x:v>
      </x:c>
      <x:c r="S98" s="2" t="s">
        <x:v>584</x:v>
      </x:c>
      <x:c r="T98" s="5" t="s">
        <x:v>585</x:v>
      </x:c>
    </x:row>
    <x:row r="99">
      <x:c r="A99" s="2" t="s">
        <x:v>586</x:v>
      </x:c>
      <x:c r="B99" s="3">
        <x:v>320.0</x:v>
      </x:c>
      <x:c r="C99" s="3">
        <x:v>80.0</x:v>
      </x:c>
      <x:c r="D99" s="11" t="s">
        <x:v>43</x:v>
      </x:c>
      <x:c r="E99" s="11" t="s">
        <x:v>43</x:v>
      </x:c>
      <x:c r="F99" s="11" t="s">
        <x:v>43</x:v>
      </x:c>
      <x:c r="G99" s="3">
        <x:v>1000.0</x:v>
      </x:c>
      <x:c r="H99" s="3">
        <x:v>710.0</x:v>
      </x:c>
      <x:c r="I99" s="3">
        <x:v>0.0</x:v>
      </x:c>
      <x:c r="J99" s="2" t="s">
        <x:v>24</x:v>
      </x:c>
      <x:c r="K99" s="2" t="s">
        <x:v>24</x:v>
      </x:c>
      <x:c r="L99" s="3" t="s">
        <x:v>581</x:v>
      </x:c>
      <x:c r="M99" s="2" t="s">
        <x:v>582</x:v>
      </x:c>
      <x:c r="N99" s="3">
        <x:v>0.0</x:v>
      </x:c>
      <x:c r="O99" s="3">
        <x:v>0.0</x:v>
      </x:c>
      <x:c r="P99" s="3">
        <x:v>0.0</x:v>
      </x:c>
      <x:c r="Q99" s="3">
        <x:v>0.0</x:v>
      </x:c>
      <x:c r="R99" s="2" t="s">
        <x:v>587</x:v>
      </x:c>
      <x:c r="S99" s="2" t="s">
        <x:v>584</x:v>
      </x:c>
      <x:c r="T99" s="5" t="s">
        <x:v>585</x:v>
      </x:c>
    </x:row>
    <x:row r="100">
      <x:c r="A100" s="2" t="s">
        <x:v>588</x:v>
      </x:c>
      <x:c r="B100" s="3">
        <x:v>320.0</x:v>
      </x:c>
      <x:c r="C100" s="3">
        <x:v>80.0</x:v>
      </x:c>
      <x:c r="D100" s="11" t="s">
        <x:v>43</x:v>
      </x:c>
      <x:c r="E100" s="11" t="s">
        <x:v>43</x:v>
      </x:c>
      <x:c r="F100" s="11" t="s">
        <x:v>43</x:v>
      </x:c>
      <x:c r="G100" s="3">
        <x:v>900.0</x:v>
      </x:c>
      <x:c r="H100" s="3">
        <x:v>639.0</x:v>
      </x:c>
      <x:c r="I100" s="3">
        <x:v>171.0</x:v>
      </x:c>
      <x:c r="J100" s="2" t="s">
        <x:v>24</x:v>
      </x:c>
      <x:c r="K100" s="2" t="s">
        <x:v>24</x:v>
      </x:c>
      <x:c r="L100" s="3" t="s">
        <x:v>581</x:v>
      </x:c>
      <x:c r="M100" s="2" t="s">
        <x:v>582</x:v>
      </x:c>
      <x:c r="N100" s="3">
        <x:v>0.0</x:v>
      </x:c>
      <x:c r="O100" s="3">
        <x:v>0.0</x:v>
      </x:c>
      <x:c r="P100" s="3">
        <x:v>0.0</x:v>
      </x:c>
      <x:c r="Q100" s="3">
        <x:v>0.0</x:v>
      </x:c>
      <x:c r="R100" s="2" t="s">
        <x:v>587</x:v>
      </x:c>
      <x:c r="S100" s="2" t="s">
        <x:v>584</x:v>
      </x:c>
      <x:c r="T100" s="5" t="s">
        <x:v>585</x:v>
      </x:c>
    </x:row>
    <x:row r="101">
      <x:c r="A101" s="2" t="s">
        <x:v>589</x:v>
      </x:c>
      <x:c r="B101" s="3">
        <x:v>320.0</x:v>
      </x:c>
      <x:c r="C101" s="3">
        <x:v>80.0</x:v>
      </x:c>
      <x:c r="D101" s="11" t="s">
        <x:v>43</x:v>
      </x:c>
      <x:c r="E101" s="11" t="s">
        <x:v>43</x:v>
      </x:c>
      <x:c r="F101" s="11" t="s">
        <x:v>43</x:v>
      </x:c>
      <x:c r="G101" s="3">
        <x:v>800.0</x:v>
      </x:c>
      <x:c r="H101" s="3">
        <x:v>568.0</x:v>
      </x:c>
      <x:c r="I101" s="3">
        <x:v>342.0</x:v>
      </x:c>
      <x:c r="J101" s="2" t="s">
        <x:v>24</x:v>
      </x:c>
      <x:c r="K101" s="2" t="s">
        <x:v>24</x:v>
      </x:c>
      <x:c r="L101" s="3" t="s">
        <x:v>581</x:v>
      </x:c>
      <x:c r="M101" s="2" t="s">
        <x:v>582</x:v>
      </x:c>
      <x:c r="N101" s="3">
        <x:v>0.0</x:v>
      </x:c>
      <x:c r="O101" s="3">
        <x:v>0.0</x:v>
      </x:c>
      <x:c r="P101" s="3">
        <x:v>0.0</x:v>
      </x:c>
      <x:c r="Q101" s="3">
        <x:v>0.0</x:v>
      </x:c>
      <x:c r="R101" s="2" t="s">
        <x:v>590</x:v>
      </x:c>
      <x:c r="S101" s="2" t="s">
        <x:v>584</x:v>
      </x:c>
      <x:c r="T101" s="5" t="s">
        <x:v>585</x:v>
      </x:c>
    </x:row>
    <x:row r="102">
      <x:c r="A102" s="2" t="s">
        <x:v>591</x:v>
      </x:c>
      <x:c r="B102" s="3">
        <x:v>320.0</x:v>
      </x:c>
      <x:c r="C102" s="3">
        <x:v>80.0</x:v>
      </x:c>
      <x:c r="D102" s="11" t="s">
        <x:v>43</x:v>
      </x:c>
      <x:c r="E102" s="11" t="s">
        <x:v>43</x:v>
      </x:c>
      <x:c r="F102" s="11" t="s">
        <x:v>43</x:v>
      </x:c>
      <x:c r="G102" s="3">
        <x:v>700.0</x:v>
      </x:c>
      <x:c r="H102" s="3">
        <x:v>497.0</x:v>
      </x:c>
      <x:c r="I102" s="3">
        <x:v>513.0</x:v>
      </x:c>
      <x:c r="J102" s="2" t="s">
        <x:v>24</x:v>
      </x:c>
      <x:c r="K102" s="2" t="s">
        <x:v>24</x:v>
      </x:c>
      <x:c r="L102" s="3" t="s">
        <x:v>581</x:v>
      </x:c>
      <x:c r="M102" s="2" t="s">
        <x:v>582</x:v>
      </x:c>
      <x:c r="N102" s="3">
        <x:v>0.0</x:v>
      </x:c>
      <x:c r="O102" s="3">
        <x:v>0.0</x:v>
      </x:c>
      <x:c r="P102" s="3">
        <x:v>0.0</x:v>
      </x:c>
      <x:c r="Q102" s="3">
        <x:v>0.0</x:v>
      </x:c>
      <x:c r="R102" s="2" t="s">
        <x:v>592</x:v>
      </x:c>
      <x:c r="S102" s="2" t="s">
        <x:v>584</x:v>
      </x:c>
      <x:c r="T102" s="5" t="s">
        <x:v>585</x:v>
      </x:c>
    </x:row>
    <x:row r="103">
      <x:c r="A103" s="2" t="s">
        <x:v>593</x:v>
      </x:c>
      <x:c r="B103" s="3">
        <x:v>320.0</x:v>
      </x:c>
      <x:c r="C103" s="3">
        <x:v>80.0</x:v>
      </x:c>
      <x:c r="D103" s="3" t="s">
        <x:v>43</x:v>
      </x:c>
      <x:c r="E103" s="11" t="s">
        <x:v>43</x:v>
      </x:c>
      <x:c r="F103" s="11" t="s">
        <x:v>43</x:v>
      </x:c>
      <x:c r="G103" s="3">
        <x:v>600.0</x:v>
      </x:c>
      <x:c r="H103" s="3">
        <x:v>426.0</x:v>
      </x:c>
      <x:c r="I103" s="3">
        <x:v>684.0</x:v>
      </x:c>
      <x:c r="J103" s="2" t="s">
        <x:v>24</x:v>
      </x:c>
      <x:c r="K103" s="2" t="s">
        <x:v>24</x:v>
      </x:c>
      <x:c r="L103" s="3" t="s">
        <x:v>581</x:v>
      </x:c>
      <x:c r="M103" s="2" t="s">
        <x:v>582</x:v>
      </x:c>
      <x:c r="N103" s="3">
        <x:v>0.0</x:v>
      </x:c>
      <x:c r="O103" s="3">
        <x:v>0.0</x:v>
      </x:c>
      <x:c r="P103" s="3">
        <x:v>0.0</x:v>
      </x:c>
      <x:c r="Q103" s="3">
        <x:v>0.0</x:v>
      </x:c>
      <x:c r="R103" s="2" t="s">
        <x:v>590</x:v>
      </x:c>
      <x:c r="S103" s="2" t="s">
        <x:v>584</x:v>
      </x:c>
      <x:c r="T103" s="5" t="s">
        <x:v>585</x:v>
      </x:c>
    </x:row>
    <x:row r="104">
      <x:c r="A104" s="2" t="s">
        <x:v>594</x:v>
      </x:c>
      <x:c r="B104" s="3">
        <x:v>320.0</x:v>
      </x:c>
      <x:c r="C104" s="3">
        <x:v>80.0</x:v>
      </x:c>
      <x:c r="D104" s="3" t="s">
        <x:v>43</x:v>
      </x:c>
      <x:c r="E104" s="11" t="s">
        <x:v>43</x:v>
      </x:c>
      <x:c r="F104" s="11" t="s">
        <x:v>43</x:v>
      </x:c>
      <x:c r="G104" s="3">
        <x:v>500.0</x:v>
      </x:c>
      <x:c r="H104" s="3">
        <x:v>355.0</x:v>
      </x:c>
      <x:c r="I104" s="3">
        <x:v>855.0</x:v>
      </x:c>
      <x:c r="J104" s="2" t="s">
        <x:v>24</x:v>
      </x:c>
      <x:c r="K104" s="2" t="s">
        <x:v>24</x:v>
      </x:c>
      <x:c r="L104" s="3" t="s">
        <x:v>581</x:v>
      </x:c>
      <x:c r="M104" s="2" t="s">
        <x:v>582</x:v>
      </x:c>
      <x:c r="N104" s="3">
        <x:v>0.0</x:v>
      </x:c>
      <x:c r="O104" s="3">
        <x:v>0.0</x:v>
      </x:c>
      <x:c r="P104" s="3">
        <x:v>0.0</x:v>
      </x:c>
      <x:c r="Q104" s="3">
        <x:v>0.0</x:v>
      </x:c>
      <x:c r="R104" s="2" t="s">
        <x:v>595</x:v>
      </x:c>
      <x:c r="S104" s="2" t="s">
        <x:v>584</x:v>
      </x:c>
      <x:c r="T104" s="5" t="s">
        <x:v>585</x:v>
      </x:c>
    </x:row>
    <x:row r="105">
      <x:c r="A105" s="2" t="s">
        <x:v>596</x:v>
      </x:c>
      <x:c r="B105" s="3">
        <x:v>320.0</x:v>
      </x:c>
      <x:c r="C105" s="3">
        <x:v>80.0</x:v>
      </x:c>
      <x:c r="D105" s="3" t="s">
        <x:v>43</x:v>
      </x:c>
      <x:c r="E105" s="11" t="s">
        <x:v>43</x:v>
      </x:c>
      <x:c r="F105" s="11" t="s">
        <x:v>43</x:v>
      </x:c>
      <x:c r="G105" s="11" t="s">
        <x:v>43</x:v>
      </x:c>
      <x:c r="H105" s="3">
        <x:v>0.0</x:v>
      </x:c>
      <x:c r="I105" s="3">
        <x:v>1710.0</x:v>
      </x:c>
      <x:c r="J105" s="2" t="s">
        <x:v>24</x:v>
      </x:c>
      <x:c r="K105" s="2" t="s">
        <x:v>24</x:v>
      </x:c>
      <x:c r="L105" s="3" t="s">
        <x:v>581</x:v>
      </x:c>
      <x:c r="M105" s="2" t="s">
        <x:v>582</x:v>
      </x:c>
      <x:c r="N105" s="3">
        <x:v>0.0</x:v>
      </x:c>
      <x:c r="O105" s="3">
        <x:v>0.0</x:v>
      </x:c>
      <x:c r="P105" s="3">
        <x:v>0.0</x:v>
      </x:c>
      <x:c r="Q105" s="3">
        <x:v>0.0</x:v>
      </x:c>
      <x:c r="R105" s="2" t="s">
        <x:v>590</x:v>
      </x:c>
      <x:c r="S105" s="2" t="s">
        <x:v>584</x:v>
      </x:c>
      <x:c r="T105" s="5" t="s">
        <x:v>585</x:v>
      </x:c>
    </x:row>
    <x:row r="106">
      <x:c r="A106" s="2" t="s">
        <x:v>597</x:v>
      </x:c>
      <x:c r="B106" s="3" t="s">
        <x:v>598</x:v>
      </x:c>
      <x:c r="C106" s="3" t="s">
        <x:v>599</x:v>
      </x:c>
      <x:c r="D106" s="3" t="s">
        <x:v>43</x:v>
      </x:c>
      <x:c r="E106" s="3" t="s">
        <x:v>43</x:v>
      </x:c>
      <x:c r="F106" s="3" t="s">
        <x:v>43</x:v>
      </x:c>
      <x:c r="G106" s="3" t="s">
        <x:v>600</x:v>
      </x:c>
      <x:c r="H106" s="3" t="s">
        <x:v>601</x:v>
      </x:c>
      <x:c r="I106" s="3" t="s">
        <x:v>43</x:v>
      </x:c>
      <x:c r="J106" s="3" t="s">
        <x:v>43</x:v>
      </x:c>
      <x:c r="K106" s="3" t="s">
        <x:v>43</x:v>
      </x:c>
      <x:c r="L106" s="3" t="s">
        <x:v>602</x:v>
      </x:c>
      <x:c r="M106" s="3" t="s">
        <x:v>603</x:v>
      </x:c>
      <x:c r="N106" s="3" t="s">
        <x:v>604</x:v>
      </x:c>
      <x:c r="O106" s="3" t="s">
        <x:v>43</x:v>
      </x:c>
      <x:c r="P106" s="3" t="s">
        <x:v>43</x:v>
      </x:c>
      <x:c r="Q106" s="12">
        <x:v>0.0</x:v>
      </x:c>
      <x:c r="R106" s="3" t="s">
        <x:v>605</x:v>
      </x:c>
      <x:c r="S106" s="3" t="s">
        <x:v>606</x:v>
      </x:c>
      <x:c r="T106" s="5" t="s">
        <x:v>607</x:v>
      </x:c>
    </x:row>
    <x:row r="107">
      <x:c r="A107" s="2" t="s">
        <x:v>608</x:v>
      </x:c>
      <x:c r="B107" s="3" t="s">
        <x:v>598</x:v>
      </x:c>
      <x:c r="C107" s="3" t="s">
        <x:v>599</x:v>
      </x:c>
      <x:c r="D107" s="3" t="s">
        <x:v>43</x:v>
      </x:c>
      <x:c r="E107" s="3" t="s">
        <x:v>43</x:v>
      </x:c>
      <x:c r="F107" s="3" t="s">
        <x:v>43</x:v>
      </x:c>
      <x:c r="G107" s="3" t="s">
        <x:v>600</x:v>
      </x:c>
      <x:c r="H107" s="3" t="s">
        <x:v>609</x:v>
      </x:c>
      <x:c r="I107" s="3" t="s">
        <x:v>610</x:v>
      </x:c>
      <x:c r="J107" s="3" t="s">
        <x:v>43</x:v>
      </x:c>
      <x:c r="K107" s="3" t="s">
        <x:v>43</x:v>
      </x:c>
      <x:c r="L107" s="3" t="s">
        <x:v>602</x:v>
      </x:c>
      <x:c r="M107" s="3" t="s">
        <x:v>603</x:v>
      </x:c>
      <x:c r="N107" s="3" t="s">
        <x:v>604</x:v>
      </x:c>
      <x:c r="O107" s="3" t="s">
        <x:v>43</x:v>
      </x:c>
      <x:c r="P107" s="3" t="s">
        <x:v>43</x:v>
      </x:c>
      <x:c r="Q107" s="12">
        <x:v>0.0</x:v>
      </x:c>
      <x:c r="R107" s="3" t="s">
        <x:v>611</x:v>
      </x:c>
      <x:c r="S107" s="3" t="s">
        <x:v>606</x:v>
      </x:c>
      <x:c r="T107" s="5" t="s">
        <x:v>607</x:v>
      </x:c>
    </x:row>
    <x:row r="108">
      <x:c r="A108" s="2" t="s">
        <x:v>612</x:v>
      </x:c>
      <x:c r="B108" s="3" t="s">
        <x:v>598</x:v>
      </x:c>
      <x:c r="C108" s="3" t="s">
        <x:v>599</x:v>
      </x:c>
      <x:c r="D108" s="3" t="s">
        <x:v>43</x:v>
      </x:c>
      <x:c r="E108" s="3" t="s">
        <x:v>43</x:v>
      </x:c>
      <x:c r="F108" s="3" t="s">
        <x:v>43</x:v>
      </x:c>
      <x:c r="G108" s="3" t="s">
        <x:v>600</x:v>
      </x:c>
      <x:c r="H108" s="3" t="s">
        <x:v>613</x:v>
      </x:c>
      <x:c r="I108" s="3" t="s">
        <x:v>614</x:v>
      </x:c>
      <x:c r="J108" s="3" t="s">
        <x:v>43</x:v>
      </x:c>
      <x:c r="K108" s="3" t="s">
        <x:v>43</x:v>
      </x:c>
      <x:c r="L108" s="3" t="s">
        <x:v>602</x:v>
      </x:c>
      <x:c r="M108" s="3" t="s">
        <x:v>603</x:v>
      </x:c>
      <x:c r="N108" s="3" t="s">
        <x:v>604</x:v>
      </x:c>
      <x:c r="O108" s="3" t="s">
        <x:v>43</x:v>
      </x:c>
      <x:c r="P108" s="3" t="s">
        <x:v>43</x:v>
      </x:c>
      <x:c r="Q108" s="12">
        <x:v>0.0</x:v>
      </x:c>
      <x:c r="R108" s="3" t="s">
        <x:v>615</x:v>
      </x:c>
      <x:c r="S108" s="3" t="s">
        <x:v>606</x:v>
      </x:c>
      <x:c r="T108" s="5" t="s">
        <x:v>607</x:v>
      </x:c>
    </x:row>
    <x:row r="109">
      <x:c r="A109" s="2" t="s">
        <x:v>616</x:v>
      </x:c>
      <x:c r="B109" s="3" t="s">
        <x:v>598</x:v>
      </x:c>
      <x:c r="C109" s="3" t="s">
        <x:v>599</x:v>
      </x:c>
      <x:c r="D109" s="3" t="s">
        <x:v>43</x:v>
      </x:c>
      <x:c r="E109" s="3" t="s">
        <x:v>43</x:v>
      </x:c>
      <x:c r="F109" s="3" t="s">
        <x:v>43</x:v>
      </x:c>
      <x:c r="G109" s="3" t="s">
        <x:v>600</x:v>
      </x:c>
      <x:c r="H109" s="3" t="s">
        <x:v>617</x:v>
      </x:c>
      <x:c r="I109" s="3" t="s">
        <x:v>618</x:v>
      </x:c>
      <x:c r="J109" s="3" t="s">
        <x:v>43</x:v>
      </x:c>
      <x:c r="K109" s="3" t="s">
        <x:v>43</x:v>
      </x:c>
      <x:c r="L109" s="3" t="s">
        <x:v>602</x:v>
      </x:c>
      <x:c r="M109" s="3" t="s">
        <x:v>603</x:v>
      </x:c>
      <x:c r="N109" s="3" t="s">
        <x:v>604</x:v>
      </x:c>
      <x:c r="O109" s="3" t="s">
        <x:v>43</x:v>
      </x:c>
      <x:c r="P109" s="3" t="s">
        <x:v>43</x:v>
      </x:c>
      <x:c r="Q109" s="12">
        <x:v>0.0</x:v>
      </x:c>
      <x:c r="R109" s="3" t="s">
        <x:v>619</x:v>
      </x:c>
      <x:c r="S109" s="3" t="s">
        <x:v>606</x:v>
      </x:c>
      <x:c r="T109" s="5" t="s">
        <x:v>607</x:v>
      </x:c>
    </x:row>
    <x:row r="110">
      <x:c r="A110" s="2" t="s">
        <x:v>620</x:v>
      </x:c>
      <x:c r="B110" s="3" t="s">
        <x:v>598</x:v>
      </x:c>
      <x:c r="C110" s="3" t="s">
        <x:v>599</x:v>
      </x:c>
      <x:c r="D110" s="3" t="s">
        <x:v>43</x:v>
      </x:c>
      <x:c r="E110" s="3" t="s">
        <x:v>43</x:v>
      </x:c>
      <x:c r="F110" s="3" t="s">
        <x:v>43</x:v>
      </x:c>
      <x:c r="G110" s="3" t="s">
        <x:v>600</x:v>
      </x:c>
      <x:c r="H110" s="3" t="s">
        <x:v>621</x:v>
      </x:c>
      <x:c r="I110" s="3" t="s">
        <x:v>622</x:v>
      </x:c>
      <x:c r="J110" s="3" t="s">
        <x:v>43</x:v>
      </x:c>
      <x:c r="K110" s="3" t="s">
        <x:v>43</x:v>
      </x:c>
      <x:c r="L110" s="3" t="s">
        <x:v>602</x:v>
      </x:c>
      <x:c r="M110" s="3" t="s">
        <x:v>603</x:v>
      </x:c>
      <x:c r="N110" s="3" t="s">
        <x:v>604</x:v>
      </x:c>
      <x:c r="O110" s="3" t="s">
        <x:v>43</x:v>
      </x:c>
      <x:c r="P110" s="3" t="s">
        <x:v>43</x:v>
      </x:c>
      <x:c r="Q110" s="12">
        <x:v>0.0</x:v>
      </x:c>
      <x:c r="R110" s="3" t="s">
        <x:v>623</x:v>
      </x:c>
      <x:c r="S110" s="3" t="s">
        <x:v>606</x:v>
      </x:c>
      <x:c r="T110" s="5" t="s">
        <x:v>607</x:v>
      </x:c>
    </x:row>
    <x:row r="111">
      <x:c r="A111" s="3" t="s">
        <x:v>624</x:v>
      </x:c>
      <x:c r="B111" s="3" t="s">
        <x:v>129</x:v>
      </x:c>
      <x:c r="C111" s="3" t="s">
        <x:v>43</x:v>
      </x:c>
      <x:c r="D111" s="3" t="s">
        <x:v>129</x:v>
      </x:c>
      <x:c r="E111" s="3" t="s">
        <x:v>43</x:v>
      </x:c>
      <x:c r="F111" s="3" t="s">
        <x:v>43</x:v>
      </x:c>
      <x:c r="G111" s="3" t="s">
        <x:v>625</x:v>
      </x:c>
      <x:c r="H111" s="3" t="s">
        <x:v>626</x:v>
      </x:c>
      <x:c r="I111" s="3" t="s">
        <x:v>43</x:v>
      </x:c>
      <x:c r="J111" s="3" t="s">
        <x:v>43</x:v>
      </x:c>
      <x:c r="K111" s="3" t="s">
        <x:v>43</x:v>
      </x:c>
      <x:c r="L111" s="3" t="s">
        <x:v>627</x:v>
      </x:c>
      <x:c r="M111" s="3" t="s">
        <x:v>628</x:v>
      </x:c>
      <x:c r="N111" s="3" t="s">
        <x:v>43</x:v>
      </x:c>
      <x:c r="O111" s="3" t="s">
        <x:v>43</x:v>
      </x:c>
      <x:c r="P111" s="3" t="s">
        <x:v>43</x:v>
      </x:c>
      <x:c r="Q111" s="12">
        <x:v>0.0</x:v>
      </x:c>
      <x:c r="R111" s="3" t="s">
        <x:v>629</x:v>
      </x:c>
      <x:c r="S111" s="3" t="s">
        <x:v>630</x:v>
      </x:c>
      <x:c r="T111" s="13" t="s">
        <x:v>631</x:v>
      </x:c>
    </x:row>
    <x:row r="112">
      <x:c r="A112" s="3" t="s">
        <x:v>632</x:v>
      </x:c>
      <x:c r="B112" s="3" t="s">
        <x:v>633</x:v>
      </x:c>
      <x:c r="C112" s="3" t="s">
        <x:v>43</x:v>
      </x:c>
      <x:c r="D112" s="3" t="s">
        <x:v>633</x:v>
      </x:c>
      <x:c r="E112" s="3" t="s">
        <x:v>43</x:v>
      </x:c>
      <x:c r="F112" s="3" t="s">
        <x:v>43</x:v>
      </x:c>
      <x:c r="G112" s="3" t="s">
        <x:v>634</x:v>
      </x:c>
      <x:c r="H112" s="3" t="s">
        <x:v>635</x:v>
      </x:c>
      <x:c r="I112" s="3" t="s">
        <x:v>43</x:v>
      </x:c>
      <x:c r="J112" s="3" t="s">
        <x:v>43</x:v>
      </x:c>
      <x:c r="K112" s="3" t="s">
        <x:v>43</x:v>
      </x:c>
      <x:c r="L112" s="3" t="s">
        <x:v>636</x:v>
      </x:c>
      <x:c r="M112" s="3" t="s">
        <x:v>637</x:v>
      </x:c>
      <x:c r="N112" s="3" t="s">
        <x:v>43</x:v>
      </x:c>
      <x:c r="O112" s="3" t="s">
        <x:v>43</x:v>
      </x:c>
      <x:c r="P112" s="3" t="s">
        <x:v>43</x:v>
      </x:c>
      <x:c r="Q112" s="12">
        <x:v>0.0</x:v>
      </x:c>
      <x:c r="R112" s="3" t="s">
        <x:v>638</x:v>
      </x:c>
      <x:c r="S112" s="3" t="s">
        <x:v>630</x:v>
      </x:c>
      <x:c r="T112" s="13" t="s">
        <x:v>631</x:v>
      </x:c>
    </x:row>
    <x:row r="113">
      <x:c r="A113" s="3" t="s">
        <x:v>639</x:v>
      </x:c>
      <x:c r="B113" s="3" t="s">
        <x:v>155</x:v>
      </x:c>
      <x:c r="C113" s="3" t="s">
        <x:v>43</x:v>
      </x:c>
      <x:c r="D113" s="3" t="s">
        <x:v>155</x:v>
      </x:c>
      <x:c r="E113" s="3" t="s">
        <x:v>43</x:v>
      </x:c>
      <x:c r="F113" s="3" t="s">
        <x:v>43</x:v>
      </x:c>
      <x:c r="G113" s="3" t="s">
        <x:v>640</x:v>
      </x:c>
      <x:c r="H113" s="3" t="s">
        <x:v>641</x:v>
      </x:c>
      <x:c r="I113" s="3" t="s">
        <x:v>43</x:v>
      </x:c>
      <x:c r="J113" s="3" t="s">
        <x:v>43</x:v>
      </x:c>
      <x:c r="K113" s="3" t="s">
        <x:v>43</x:v>
      </x:c>
      <x:c r="L113" s="3" t="s">
        <x:v>642</x:v>
      </x:c>
      <x:c r="M113" s="3" t="s">
        <x:v>643</x:v>
      </x:c>
      <x:c r="N113" s="3" t="s">
        <x:v>43</x:v>
      </x:c>
      <x:c r="O113" s="3" t="s">
        <x:v>43</x:v>
      </x:c>
      <x:c r="P113" s="3" t="s">
        <x:v>43</x:v>
      </x:c>
      <x:c r="Q113" s="12">
        <x:v>0.0</x:v>
      </x:c>
      <x:c r="R113" s="3" t="s">
        <x:v>644</x:v>
      </x:c>
      <x:c r="S113" s="3" t="s">
        <x:v>630</x:v>
      </x:c>
      <x:c r="T113" s="13" t="s">
        <x:v>631</x:v>
      </x:c>
    </x:row>
    <x:row r="114">
      <x:c r="A114" s="3" t="s">
        <x:v>645</x:v>
      </x:c>
      <x:c r="B114" s="3" t="s">
        <x:v>642</x:v>
      </x:c>
      <x:c r="C114" s="3" t="s">
        <x:v>43</x:v>
      </x:c>
      <x:c r="D114" s="3" t="s">
        <x:v>642</x:v>
      </x:c>
      <x:c r="E114" s="3" t="s">
        <x:v>43</x:v>
      </x:c>
      <x:c r="F114" s="3" t="s">
        <x:v>43</x:v>
      </x:c>
      <x:c r="G114" s="3" t="s">
        <x:v>635</x:v>
      </x:c>
      <x:c r="H114" s="3" t="s">
        <x:v>646</x:v>
      </x:c>
      <x:c r="I114" s="3" t="s">
        <x:v>43</x:v>
      </x:c>
      <x:c r="J114" s="3" t="s">
        <x:v>43</x:v>
      </x:c>
      <x:c r="K114" s="3" t="s">
        <x:v>43</x:v>
      </x:c>
      <x:c r="L114" s="3" t="s">
        <x:v>647</x:v>
      </x:c>
      <x:c r="M114" s="3" t="s">
        <x:v>648</x:v>
      </x:c>
      <x:c r="N114" s="3" t="s">
        <x:v>43</x:v>
      </x:c>
      <x:c r="O114" s="3" t="s">
        <x:v>43</x:v>
      </x:c>
      <x:c r="P114" s="3" t="s">
        <x:v>43</x:v>
      </x:c>
      <x:c r="Q114" s="12">
        <x:v>0.0</x:v>
      </x:c>
      <x:c r="R114" s="3" t="s">
        <x:v>649</x:v>
      </x:c>
      <x:c r="S114" s="3" t="s">
        <x:v>630</x:v>
      </x:c>
      <x:c r="T114" s="13" t="s">
        <x:v>631</x:v>
      </x:c>
    </x:row>
    <x:row r="115">
      <x:c r="A115" s="3" t="s">
        <x:v>650</x:v>
      </x:c>
      <x:c r="B115" s="3" t="s">
        <x:v>642</x:v>
      </x:c>
      <x:c r="C115" s="3" t="s">
        <x:v>43</x:v>
      </x:c>
      <x:c r="D115" s="3" t="s">
        <x:v>651</x:v>
      </x:c>
      <x:c r="E115" s="3" t="s">
        <x:v>43</x:v>
      </x:c>
      <x:c r="F115" s="3" t="s">
        <x:v>43</x:v>
      </x:c>
      <x:c r="G115" s="3" t="s">
        <x:v>652</x:v>
      </x:c>
      <x:c r="H115" s="3" t="s">
        <x:v>653</x:v>
      </x:c>
      <x:c r="I115" s="3" t="s">
        <x:v>43</x:v>
      </x:c>
      <x:c r="J115" s="3" t="s">
        <x:v>43</x:v>
      </x:c>
      <x:c r="K115" s="3" t="s">
        <x:v>43</x:v>
      </x:c>
      <x:c r="L115" s="3" t="s">
        <x:v>647</x:v>
      </x:c>
      <x:c r="M115" s="3" t="s">
        <x:v>654</x:v>
      </x:c>
      <x:c r="N115" s="3" t="s">
        <x:v>43</x:v>
      </x:c>
      <x:c r="O115" s="3" t="s">
        <x:v>43</x:v>
      </x:c>
      <x:c r="P115" s="3" t="s">
        <x:v>43</x:v>
      </x:c>
      <x:c r="Q115" s="12">
        <x:v>0.0</x:v>
      </x:c>
      <x:c r="R115" s="3" t="s">
        <x:v>655</x:v>
      </x:c>
      <x:c r="S115" s="3" t="s">
        <x:v>630</x:v>
      </x:c>
      <x:c r="T115" s="13" t="s">
        <x:v>631</x:v>
      </x:c>
    </x:row>
    <x:row r="116">
      <x:c r="A116" s="3" t="s">
        <x:v>656</x:v>
      </x:c>
      <x:c r="B116" s="3" t="s">
        <x:v>657</x:v>
      </x:c>
      <x:c r="C116" s="3" t="s">
        <x:v>43</x:v>
      </x:c>
      <x:c r="D116" s="3" t="s">
        <x:v>43</x:v>
      </x:c>
      <x:c r="E116" s="3" t="s">
        <x:v>43</x:v>
      </x:c>
      <x:c r="F116" s="3" t="s">
        <x:v>43</x:v>
      </x:c>
      <x:c r="G116" s="3" t="s">
        <x:v>658</x:v>
      </x:c>
      <x:c r="H116" s="3" t="s">
        <x:v>659</x:v>
      </x:c>
      <x:c r="I116" s="3" t="s">
        <x:v>43</x:v>
      </x:c>
      <x:c r="J116" s="3" t="s">
        <x:v>43</x:v>
      </x:c>
      <x:c r="K116" s="3" t="s">
        <x:v>43</x:v>
      </x:c>
      <x:c r="L116" s="3" t="s">
        <x:v>660</x:v>
      </x:c>
      <x:c r="M116" s="3" t="s">
        <x:v>637</x:v>
      </x:c>
      <x:c r="N116" s="3" t="s">
        <x:v>43</x:v>
      </x:c>
      <x:c r="O116" s="3" t="s">
        <x:v>43</x:v>
      </x:c>
      <x:c r="P116" s="3" t="s">
        <x:v>43</x:v>
      </x:c>
      <x:c r="Q116" s="12">
        <x:v>0.0</x:v>
      </x:c>
      <x:c r="R116" s="3" t="s">
        <x:v>661</x:v>
      </x:c>
      <x:c r="S116" s="3" t="s">
        <x:v>630</x:v>
      </x:c>
      <x:c r="T116" s="13" t="s">
        <x:v>631</x:v>
      </x:c>
    </x:row>
    <x:row r="117">
      <x:c r="A117" s="2" t="s">
        <x:v>624</x:v>
      </x:c>
      <x:c r="B117" s="2" t="s">
        <x:v>129</x:v>
      </x:c>
      <x:c r="C117" s="2" t="s">
        <x:v>43</x:v>
      </x:c>
      <x:c r="D117" s="2" t="s">
        <x:v>129</x:v>
      </x:c>
      <x:c r="E117" s="2" t="s">
        <x:v>43</x:v>
      </x:c>
      <x:c r="F117" s="2" t="s">
        <x:v>43</x:v>
      </x:c>
      <x:c r="G117" s="2" t="s">
        <x:v>625</x:v>
      </x:c>
      <x:c r="H117" s="2" t="s">
        <x:v>626</x:v>
      </x:c>
      <x:c r="I117" s="2" t="s">
        <x:v>43</x:v>
      </x:c>
      <x:c r="J117" s="2" t="s">
        <x:v>43</x:v>
      </x:c>
      <x:c r="K117" s="2" t="s">
        <x:v>43</x:v>
      </x:c>
      <x:c r="L117" s="2" t="s">
        <x:v>627</x:v>
      </x:c>
      <x:c r="M117" s="2" t="s">
        <x:v>628</x:v>
      </x:c>
      <x:c r="N117" s="2" t="s">
        <x:v>43</x:v>
      </x:c>
      <x:c r="O117" s="2" t="s">
        <x:v>43</x:v>
      </x:c>
      <x:c r="P117" s="2" t="s">
        <x:v>43</x:v>
      </x:c>
      <x:c r="Q117" s="14">
        <x:v>0.0</x:v>
      </x:c>
      <x:c r="R117" s="2" t="s">
        <x:v>629</x:v>
      </x:c>
      <x:c r="S117" s="2" t="s">
        <x:v>630</x:v>
      </x:c>
    </x:row>
    <x:row r="118">
      <x:c r="A118" s="2" t="s">
        <x:v>632</x:v>
      </x:c>
      <x:c r="B118" s="2" t="s">
        <x:v>633</x:v>
      </x:c>
      <x:c r="C118" s="2" t="s">
        <x:v>43</x:v>
      </x:c>
      <x:c r="D118" s="2" t="s">
        <x:v>633</x:v>
      </x:c>
      <x:c r="E118" s="2" t="s">
        <x:v>43</x:v>
      </x:c>
      <x:c r="F118" s="2" t="s">
        <x:v>43</x:v>
      </x:c>
      <x:c r="G118" s="2" t="s">
        <x:v>634</x:v>
      </x:c>
      <x:c r="H118" s="2" t="s">
        <x:v>635</x:v>
      </x:c>
      <x:c r="I118" s="2" t="s">
        <x:v>43</x:v>
      </x:c>
      <x:c r="J118" s="2" t="s">
        <x:v>43</x:v>
      </x:c>
      <x:c r="K118" s="2" t="s">
        <x:v>43</x:v>
      </x:c>
      <x:c r="L118" s="2" t="s">
        <x:v>636</x:v>
      </x:c>
      <x:c r="M118" s="2" t="s">
        <x:v>637</x:v>
      </x:c>
      <x:c r="N118" s="2" t="s">
        <x:v>43</x:v>
      </x:c>
      <x:c r="O118" s="2" t="s">
        <x:v>43</x:v>
      </x:c>
      <x:c r="P118" s="2" t="s">
        <x:v>43</x:v>
      </x:c>
      <x:c r="Q118" s="14">
        <x:v>0.0</x:v>
      </x:c>
      <x:c r="R118" s="2" t="s">
        <x:v>638</x:v>
      </x:c>
      <x:c r="S118" s="2" t="s">
        <x:v>630</x:v>
      </x:c>
    </x:row>
    <x:row r="119">
      <x:c r="A119" s="2" t="s">
        <x:v>639</x:v>
      </x:c>
      <x:c r="B119" s="2" t="s">
        <x:v>155</x:v>
      </x:c>
      <x:c r="C119" s="2" t="s">
        <x:v>43</x:v>
      </x:c>
      <x:c r="D119" s="2" t="s">
        <x:v>155</x:v>
      </x:c>
      <x:c r="E119" s="2" t="s">
        <x:v>43</x:v>
      </x:c>
      <x:c r="F119" s="2" t="s">
        <x:v>43</x:v>
      </x:c>
      <x:c r="G119" s="2" t="s">
        <x:v>640</x:v>
      </x:c>
      <x:c r="H119" s="2" t="s">
        <x:v>641</x:v>
      </x:c>
      <x:c r="I119" s="2" t="s">
        <x:v>43</x:v>
      </x:c>
      <x:c r="J119" s="2" t="s">
        <x:v>43</x:v>
      </x:c>
      <x:c r="K119" s="2" t="s">
        <x:v>43</x:v>
      </x:c>
      <x:c r="L119" s="2" t="s">
        <x:v>642</x:v>
      </x:c>
      <x:c r="M119" s="2" t="s">
        <x:v>643</x:v>
      </x:c>
      <x:c r="N119" s="2" t="s">
        <x:v>43</x:v>
      </x:c>
      <x:c r="O119" s="2" t="s">
        <x:v>43</x:v>
      </x:c>
      <x:c r="P119" s="2" t="s">
        <x:v>43</x:v>
      </x:c>
      <x:c r="Q119" s="14">
        <x:v>0.0</x:v>
      </x:c>
      <x:c r="R119" s="2" t="s">
        <x:v>644</x:v>
      </x:c>
      <x:c r="S119" s="2" t="s">
        <x:v>630</x:v>
      </x:c>
    </x:row>
    <x:row r="120">
      <x:c r="A120" s="2" t="s">
        <x:v>645</x:v>
      </x:c>
      <x:c r="B120" s="2" t="s">
        <x:v>642</x:v>
      </x:c>
      <x:c r="C120" s="2" t="s">
        <x:v>43</x:v>
      </x:c>
      <x:c r="D120" s="2" t="s">
        <x:v>642</x:v>
      </x:c>
      <x:c r="E120" s="2" t="s">
        <x:v>43</x:v>
      </x:c>
      <x:c r="F120" s="2" t="s">
        <x:v>43</x:v>
      </x:c>
      <x:c r="G120" s="2" t="s">
        <x:v>635</x:v>
      </x:c>
      <x:c r="H120" s="2" t="s">
        <x:v>646</x:v>
      </x:c>
      <x:c r="I120" s="2" t="s">
        <x:v>43</x:v>
      </x:c>
      <x:c r="J120" s="2" t="s">
        <x:v>43</x:v>
      </x:c>
      <x:c r="K120" s="2" t="s">
        <x:v>43</x:v>
      </x:c>
      <x:c r="L120" s="2" t="s">
        <x:v>647</x:v>
      </x:c>
      <x:c r="M120" s="2" t="s">
        <x:v>648</x:v>
      </x:c>
      <x:c r="N120" s="2" t="s">
        <x:v>43</x:v>
      </x:c>
      <x:c r="O120" s="2" t="s">
        <x:v>43</x:v>
      </x:c>
      <x:c r="P120" s="2" t="s">
        <x:v>43</x:v>
      </x:c>
      <x:c r="Q120" s="14">
        <x:v>0.0</x:v>
      </x:c>
      <x:c r="R120" s="2" t="s">
        <x:v>649</x:v>
      </x:c>
      <x:c r="S120" s="2" t="s">
        <x:v>630</x:v>
      </x:c>
    </x:row>
    <x:row r="121">
      <x:c r="A121" s="2" t="s">
        <x:v>650</x:v>
      </x:c>
      <x:c r="B121" s="2" t="s">
        <x:v>642</x:v>
      </x:c>
      <x:c r="C121" s="2" t="s">
        <x:v>43</x:v>
      </x:c>
      <x:c r="D121" s="2" t="s">
        <x:v>651</x:v>
      </x:c>
      <x:c r="E121" s="2" t="s">
        <x:v>43</x:v>
      </x:c>
      <x:c r="F121" s="2" t="s">
        <x:v>43</x:v>
      </x:c>
      <x:c r="G121" s="2" t="s">
        <x:v>652</x:v>
      </x:c>
      <x:c r="H121" s="2" t="s">
        <x:v>653</x:v>
      </x:c>
      <x:c r="I121" s="2" t="s">
        <x:v>43</x:v>
      </x:c>
      <x:c r="J121" s="2" t="s">
        <x:v>43</x:v>
      </x:c>
      <x:c r="K121" s="2" t="s">
        <x:v>43</x:v>
      </x:c>
      <x:c r="L121" s="2" t="s">
        <x:v>647</x:v>
      </x:c>
      <x:c r="M121" s="2" t="s">
        <x:v>654</x:v>
      </x:c>
      <x:c r="N121" s="2" t="s">
        <x:v>43</x:v>
      </x:c>
      <x:c r="O121" s="2" t="s">
        <x:v>43</x:v>
      </x:c>
      <x:c r="P121" s="2" t="s">
        <x:v>43</x:v>
      </x:c>
      <x:c r="Q121" s="14">
        <x:v>0.0</x:v>
      </x:c>
      <x:c r="R121" s="2" t="s">
        <x:v>655</x:v>
      </x:c>
      <x:c r="S121" s="2" t="s">
        <x:v>630</x:v>
      </x:c>
    </x:row>
    <x:row r="122">
      <x:c r="A122" s="2" t="s">
        <x:v>656</x:v>
      </x:c>
      <x:c r="B122" s="2" t="s">
        <x:v>657</x:v>
      </x:c>
      <x:c r="C122" s="2" t="s">
        <x:v>43</x:v>
      </x:c>
      <x:c r="D122" s="2" t="s">
        <x:v>43</x:v>
      </x:c>
      <x:c r="E122" s="2" t="s">
        <x:v>43</x:v>
      </x:c>
      <x:c r="F122" s="2" t="s">
        <x:v>43</x:v>
      </x:c>
      <x:c r="G122" s="2" t="s">
        <x:v>658</x:v>
      </x:c>
      <x:c r="H122" s="2" t="s">
        <x:v>659</x:v>
      </x:c>
      <x:c r="I122" s="2" t="s">
        <x:v>43</x:v>
      </x:c>
      <x:c r="J122" s="2" t="s">
        <x:v>43</x:v>
      </x:c>
      <x:c r="K122" s="2" t="s">
        <x:v>43</x:v>
      </x:c>
      <x:c r="L122" s="2" t="s">
        <x:v>660</x:v>
      </x:c>
      <x:c r="M122" s="2" t="s">
        <x:v>637</x:v>
      </x:c>
      <x:c r="N122" s="2" t="s">
        <x:v>43</x:v>
      </x:c>
      <x:c r="O122" s="2" t="s">
        <x:v>43</x:v>
      </x:c>
      <x:c r="P122" s="2" t="s">
        <x:v>43</x:v>
      </x:c>
      <x:c r="Q122" s="14">
        <x:v>0.0</x:v>
      </x:c>
      <x:c r="R122" s="2" t="s">
        <x:v>661</x:v>
      </x:c>
      <x:c r="S122" s="2" t="s">
        <x:v>630</x:v>
      </x:c>
    </x:row>
  </x:sheetData>
  <x:hyperlinks>
    <x:hyperlink xmlns:r="http://schemas.openxmlformats.org/officeDocument/2006/relationships" ref="T2" r:id="Rfaeca92e2aeb477e"/>
    <x:hyperlink xmlns:r="http://schemas.openxmlformats.org/officeDocument/2006/relationships" ref="T3" r:id="R85e31bfd1cc54818"/>
    <x:hyperlink xmlns:r="http://schemas.openxmlformats.org/officeDocument/2006/relationships" ref="T4" r:id="R6c9c754af37e4b67"/>
    <x:hyperlink xmlns:r="http://schemas.openxmlformats.org/officeDocument/2006/relationships" ref="T5" r:id="R54731aed4e904547"/>
    <x:hyperlink xmlns:r="http://schemas.openxmlformats.org/officeDocument/2006/relationships" ref="T6" r:id="R959f1811055e4c33"/>
    <x:hyperlink xmlns:r="http://schemas.openxmlformats.org/officeDocument/2006/relationships" ref="T7" r:id="R3baf77354b22455f"/>
    <x:hyperlink xmlns:r="http://schemas.openxmlformats.org/officeDocument/2006/relationships" ref="T8" r:id="Rf161d72689d14b5b"/>
    <x:hyperlink xmlns:r="http://schemas.openxmlformats.org/officeDocument/2006/relationships" ref="T9" r:id="R62eb8b7de1914da0"/>
    <x:hyperlink xmlns:r="http://schemas.openxmlformats.org/officeDocument/2006/relationships" ref="T10" r:id="R2a5bfee222704b9a"/>
    <x:hyperlink xmlns:r="http://schemas.openxmlformats.org/officeDocument/2006/relationships" ref="T11" r:id="R180816a5c5044ea3"/>
    <x:hyperlink xmlns:r="http://schemas.openxmlformats.org/officeDocument/2006/relationships" ref="T12" r:id="R3c5943d15665462f"/>
    <x:hyperlink xmlns:r="http://schemas.openxmlformats.org/officeDocument/2006/relationships" ref="T13" r:id="R55eb55ab3c494931"/>
    <x:hyperlink xmlns:r="http://schemas.openxmlformats.org/officeDocument/2006/relationships" ref="T14" r:id="R636ca850abf241de"/>
    <x:hyperlink xmlns:r="http://schemas.openxmlformats.org/officeDocument/2006/relationships" ref="T15" r:id="Rc1ef69d4c8014be0"/>
    <x:hyperlink xmlns:r="http://schemas.openxmlformats.org/officeDocument/2006/relationships" ref="T16" r:id="R0097082216124167"/>
    <x:hyperlink xmlns:r="http://schemas.openxmlformats.org/officeDocument/2006/relationships" ref="T17" r:id="R850e696c13c34810"/>
    <x:hyperlink xmlns:r="http://schemas.openxmlformats.org/officeDocument/2006/relationships" ref="T18" r:id="Rf5f815bd20874ec4"/>
    <x:hyperlink xmlns:r="http://schemas.openxmlformats.org/officeDocument/2006/relationships" ref="T19" r:id="Re37f98bbc1704602"/>
    <x:hyperlink xmlns:r="http://schemas.openxmlformats.org/officeDocument/2006/relationships" ref="T20" r:id="Rb5aba8866b3d48c8"/>
    <x:hyperlink xmlns:r="http://schemas.openxmlformats.org/officeDocument/2006/relationships" ref="T21" r:id="Rd66759e6870445bd"/>
    <x:hyperlink xmlns:r="http://schemas.openxmlformats.org/officeDocument/2006/relationships" ref="T22" r:id="Re55f90d43f08491d"/>
    <x:hyperlink xmlns:r="http://schemas.openxmlformats.org/officeDocument/2006/relationships" ref="T23" r:id="Rfe483bf721d74785"/>
    <x:hyperlink xmlns:r="http://schemas.openxmlformats.org/officeDocument/2006/relationships" ref="T24" r:id="R0036ebb28a344015"/>
    <x:hyperlink xmlns:r="http://schemas.openxmlformats.org/officeDocument/2006/relationships" ref="T25" r:id="R492289edb5cd4cb5"/>
    <x:hyperlink xmlns:r="http://schemas.openxmlformats.org/officeDocument/2006/relationships" ref="T26" r:id="R00f7d1ce896144b7"/>
    <x:hyperlink xmlns:r="http://schemas.openxmlformats.org/officeDocument/2006/relationships" ref="T27" r:id="R827b9eb427554c52"/>
    <x:hyperlink xmlns:r="http://schemas.openxmlformats.org/officeDocument/2006/relationships" ref="T28" r:id="Rcb020682624a4241"/>
    <x:hyperlink xmlns:r="http://schemas.openxmlformats.org/officeDocument/2006/relationships" ref="T29" r:id="R894d1b4362304c90"/>
    <x:hyperlink xmlns:r="http://schemas.openxmlformats.org/officeDocument/2006/relationships" ref="T30" r:id="R12496c2f92604e0e"/>
    <x:hyperlink xmlns:r="http://schemas.openxmlformats.org/officeDocument/2006/relationships" ref="T31" r:id="R59b5c2fccdde4450"/>
    <x:hyperlink xmlns:r="http://schemas.openxmlformats.org/officeDocument/2006/relationships" ref="T32" r:id="Rdaed4d272cc1480d"/>
    <x:hyperlink xmlns:r="http://schemas.openxmlformats.org/officeDocument/2006/relationships" ref="T33" r:id="R25ff2d8ca4504549"/>
    <x:hyperlink xmlns:r="http://schemas.openxmlformats.org/officeDocument/2006/relationships" ref="T34" r:id="R160bcd986a644bdd"/>
    <x:hyperlink xmlns:r="http://schemas.openxmlformats.org/officeDocument/2006/relationships" ref="T35" r:id="R2f4c9b1b7bc24cfc"/>
    <x:hyperlink xmlns:r="http://schemas.openxmlformats.org/officeDocument/2006/relationships" ref="T36" r:id="R90e66210805b4937"/>
    <x:hyperlink xmlns:r="http://schemas.openxmlformats.org/officeDocument/2006/relationships" ref="T37" r:id="R16b106b52116442e"/>
    <x:hyperlink xmlns:r="http://schemas.openxmlformats.org/officeDocument/2006/relationships" ref="T38" r:id="R5026901880dd47f2"/>
    <x:hyperlink xmlns:r="http://schemas.openxmlformats.org/officeDocument/2006/relationships" ref="T39" r:id="Rcf589a6141cd49d2"/>
    <x:hyperlink xmlns:r="http://schemas.openxmlformats.org/officeDocument/2006/relationships" ref="T40" r:id="Rd2fd261bb46445b6"/>
    <x:hyperlink xmlns:r="http://schemas.openxmlformats.org/officeDocument/2006/relationships" ref="T41" r:id="R306ddfb5911a4e10"/>
    <x:hyperlink xmlns:r="http://schemas.openxmlformats.org/officeDocument/2006/relationships" ref="T42" r:id="R55432d3a72244d91"/>
    <x:hyperlink xmlns:r="http://schemas.openxmlformats.org/officeDocument/2006/relationships" ref="T43" r:id="R7bd9cfdeb1b448da"/>
    <x:hyperlink xmlns:r="http://schemas.openxmlformats.org/officeDocument/2006/relationships" ref="T44" r:id="Rfa740839aa5643f3"/>
    <x:hyperlink xmlns:r="http://schemas.openxmlformats.org/officeDocument/2006/relationships" ref="T45" r:id="Re7e142ac9d2e4446"/>
    <x:hyperlink xmlns:r="http://schemas.openxmlformats.org/officeDocument/2006/relationships" ref="T46" r:id="R287b1ab5a77b452d"/>
    <x:hyperlink xmlns:r="http://schemas.openxmlformats.org/officeDocument/2006/relationships" ref="T47" r:id="R787d045324e6425c"/>
    <x:hyperlink xmlns:r="http://schemas.openxmlformats.org/officeDocument/2006/relationships" ref="T48" r:id="Rcf7ac55bad37488a"/>
    <x:hyperlink xmlns:r="http://schemas.openxmlformats.org/officeDocument/2006/relationships" ref="T49" r:id="Raa461728b1254da9"/>
    <x:hyperlink xmlns:r="http://schemas.openxmlformats.org/officeDocument/2006/relationships" ref="T50" r:id="R0f8b56d13f184a0d"/>
    <x:hyperlink xmlns:r="http://schemas.openxmlformats.org/officeDocument/2006/relationships" ref="T51" r:id="Re639e95e6d8f4c7f"/>
    <x:hyperlink xmlns:r="http://schemas.openxmlformats.org/officeDocument/2006/relationships" ref="T52" r:id="R1fb3b9d066fe4fe9"/>
    <x:hyperlink xmlns:r="http://schemas.openxmlformats.org/officeDocument/2006/relationships" ref="T53" r:id="Rcad6f224cc654edc"/>
    <x:hyperlink xmlns:r="http://schemas.openxmlformats.org/officeDocument/2006/relationships" ref="T54" r:id="Rca1d22db8d424bdf"/>
    <x:hyperlink xmlns:r="http://schemas.openxmlformats.org/officeDocument/2006/relationships" ref="T55" r:id="R42a0852683b54707"/>
    <x:hyperlink xmlns:r="http://schemas.openxmlformats.org/officeDocument/2006/relationships" ref="T56" r:id="Rdefbf1f5ae1242d4"/>
    <x:hyperlink xmlns:r="http://schemas.openxmlformats.org/officeDocument/2006/relationships" ref="T57" r:id="R0e297d933ea74085"/>
    <x:hyperlink xmlns:r="http://schemas.openxmlformats.org/officeDocument/2006/relationships" ref="T58" r:id="Re13742ae29b94dd5"/>
    <x:hyperlink xmlns:r="http://schemas.openxmlformats.org/officeDocument/2006/relationships" ref="T59" r:id="Rc8c05a0f5b9841b8"/>
    <x:hyperlink xmlns:r="http://schemas.openxmlformats.org/officeDocument/2006/relationships" ref="T60" r:id="R86694e46ed614fb1"/>
    <x:hyperlink xmlns:r="http://schemas.openxmlformats.org/officeDocument/2006/relationships" ref="T61" r:id="Re2461f3798ff4dd2"/>
    <x:hyperlink xmlns:r="http://schemas.openxmlformats.org/officeDocument/2006/relationships" ref="T62" r:id="Rc7f37714d8ee401d"/>
    <x:hyperlink xmlns:r="http://schemas.openxmlformats.org/officeDocument/2006/relationships" ref="T63" r:id="R422da72b450c412d"/>
    <x:hyperlink xmlns:r="http://schemas.openxmlformats.org/officeDocument/2006/relationships" ref="T64" r:id="Rdb1ed5e5571143d9"/>
    <x:hyperlink xmlns:r="http://schemas.openxmlformats.org/officeDocument/2006/relationships" ref="T65" r:id="Rdde36136279742b0"/>
    <x:hyperlink xmlns:r="http://schemas.openxmlformats.org/officeDocument/2006/relationships" ref="T66" r:id="R2b173a97ae04453c"/>
    <x:hyperlink xmlns:r="http://schemas.openxmlformats.org/officeDocument/2006/relationships" ref="T67" r:id="R96b76acdbaea474e"/>
    <x:hyperlink xmlns:r="http://schemas.openxmlformats.org/officeDocument/2006/relationships" ref="T68" r:id="R568e5e3aae6348c0"/>
    <x:hyperlink xmlns:r="http://schemas.openxmlformats.org/officeDocument/2006/relationships" ref="T69" r:id="R54a92b18bf6e40a2"/>
    <x:hyperlink xmlns:r="http://schemas.openxmlformats.org/officeDocument/2006/relationships" ref="T70" r:id="R2a725638e137432b"/>
    <x:hyperlink xmlns:r="http://schemas.openxmlformats.org/officeDocument/2006/relationships" ref="T71" r:id="Re4a9d4a520264493"/>
    <x:hyperlink xmlns:r="http://schemas.openxmlformats.org/officeDocument/2006/relationships" ref="T72" r:id="R6b9c9e83c2894b83"/>
    <x:hyperlink xmlns:r="http://schemas.openxmlformats.org/officeDocument/2006/relationships" ref="T73" r:id="R6d7fcf0f11064615"/>
    <x:hyperlink xmlns:r="http://schemas.openxmlformats.org/officeDocument/2006/relationships" ref="T74" r:id="R2f00bb3f7a84401f"/>
    <x:hyperlink xmlns:r="http://schemas.openxmlformats.org/officeDocument/2006/relationships" ref="T75" r:id="R6c55a8f0a378430d"/>
    <x:hyperlink xmlns:r="http://schemas.openxmlformats.org/officeDocument/2006/relationships" ref="T76" r:id="Raa7cce11daf140c4"/>
    <x:hyperlink xmlns:r="http://schemas.openxmlformats.org/officeDocument/2006/relationships" ref="T77" r:id="R59fc40555bf84d60"/>
    <x:hyperlink xmlns:r="http://schemas.openxmlformats.org/officeDocument/2006/relationships" ref="T78" r:id="R10ff6ba404574b61"/>
    <x:hyperlink xmlns:r="http://schemas.openxmlformats.org/officeDocument/2006/relationships" ref="T79" r:id="R9b9aa2e094dd4468"/>
    <x:hyperlink xmlns:r="http://schemas.openxmlformats.org/officeDocument/2006/relationships" ref="T80" r:id="Rae1f2f36a8a940a7"/>
    <x:hyperlink xmlns:r="http://schemas.openxmlformats.org/officeDocument/2006/relationships" ref="T81" r:id="R660a01e1e5734ef3"/>
    <x:hyperlink xmlns:r="http://schemas.openxmlformats.org/officeDocument/2006/relationships" ref="T82" r:id="R349b7a2199ed4dd0"/>
    <x:hyperlink xmlns:r="http://schemas.openxmlformats.org/officeDocument/2006/relationships" ref="T83" r:id="Rabca4847a6c143b7"/>
    <x:hyperlink xmlns:r="http://schemas.openxmlformats.org/officeDocument/2006/relationships" ref="T84" r:id="R72cd370636a84c5b"/>
    <x:hyperlink xmlns:r="http://schemas.openxmlformats.org/officeDocument/2006/relationships" ref="T85" r:id="R9f6e30581d1d450d"/>
    <x:hyperlink xmlns:r="http://schemas.openxmlformats.org/officeDocument/2006/relationships" ref="T86" r:id="Rfc76ccc53a624bf0"/>
    <x:hyperlink xmlns:r="http://schemas.openxmlformats.org/officeDocument/2006/relationships" ref="T87" r:id="Rfbb3dcf49ca9475d"/>
    <x:hyperlink xmlns:r="http://schemas.openxmlformats.org/officeDocument/2006/relationships" ref="T88" r:id="R5ac11d708ede4069"/>
    <x:hyperlink xmlns:r="http://schemas.openxmlformats.org/officeDocument/2006/relationships" ref="T89" r:id="Re2d4a42e61d04ca4"/>
    <x:hyperlink xmlns:r="http://schemas.openxmlformats.org/officeDocument/2006/relationships" ref="T90" r:id="Rb7311b1d041f468f"/>
    <x:hyperlink xmlns:r="http://schemas.openxmlformats.org/officeDocument/2006/relationships" ref="T91" r:id="R40125b8bad2c4810"/>
    <x:hyperlink xmlns:r="http://schemas.openxmlformats.org/officeDocument/2006/relationships" ref="T92" r:id="R0613713040d14ac7"/>
    <x:hyperlink xmlns:r="http://schemas.openxmlformats.org/officeDocument/2006/relationships" ref="T93" r:id="R4e5b7862b2e544d8"/>
    <x:hyperlink xmlns:r="http://schemas.openxmlformats.org/officeDocument/2006/relationships" ref="T94" r:id="Re04f72a153174d5e"/>
    <x:hyperlink xmlns:r="http://schemas.openxmlformats.org/officeDocument/2006/relationships" ref="T95" r:id="R95d8916e551844d4"/>
    <x:hyperlink xmlns:r="http://schemas.openxmlformats.org/officeDocument/2006/relationships" ref="T96" r:id="Rc03acb1b0a7c4ffa"/>
    <x:hyperlink xmlns:r="http://schemas.openxmlformats.org/officeDocument/2006/relationships" ref="T97" r:id="R27b9000e834c4f57"/>
    <x:hyperlink xmlns:r="http://schemas.openxmlformats.org/officeDocument/2006/relationships" ref="T98" r:id="R52a1bb3b7809477c"/>
    <x:hyperlink xmlns:r="http://schemas.openxmlformats.org/officeDocument/2006/relationships" ref="T99" r:id="R3db9f90e13c74d4e"/>
    <x:hyperlink xmlns:r="http://schemas.openxmlformats.org/officeDocument/2006/relationships" ref="T100" r:id="R78f73791df4f43f1"/>
    <x:hyperlink xmlns:r="http://schemas.openxmlformats.org/officeDocument/2006/relationships" ref="T101" r:id="R590c26f9e6824736"/>
    <x:hyperlink xmlns:r="http://schemas.openxmlformats.org/officeDocument/2006/relationships" ref="T102" r:id="R23168a5304024b0a"/>
    <x:hyperlink xmlns:r="http://schemas.openxmlformats.org/officeDocument/2006/relationships" ref="T103" r:id="R26d082cc6ee54cf7"/>
    <x:hyperlink xmlns:r="http://schemas.openxmlformats.org/officeDocument/2006/relationships" ref="T104" r:id="R06de25678a004e3d"/>
    <x:hyperlink xmlns:r="http://schemas.openxmlformats.org/officeDocument/2006/relationships" ref="T105" r:id="Rcb90b88cfc0c41f9"/>
    <x:hyperlink xmlns:r="http://schemas.openxmlformats.org/officeDocument/2006/relationships" ref="T106" r:id="R11e38f4246fa4b16"/>
    <x:hyperlink xmlns:r="http://schemas.openxmlformats.org/officeDocument/2006/relationships" ref="T107" r:id="R4546732f77d04f9a"/>
    <x:hyperlink xmlns:r="http://schemas.openxmlformats.org/officeDocument/2006/relationships" ref="T108" r:id="R1a05890bdbb54064"/>
    <x:hyperlink xmlns:r="http://schemas.openxmlformats.org/officeDocument/2006/relationships" ref="T109" r:id="R4c5bdaafc2f047a0"/>
    <x:hyperlink xmlns:r="http://schemas.openxmlformats.org/officeDocument/2006/relationships" ref="T110" r:id="Rf470ce699b694179"/>
    <x:hyperlink xmlns:r="http://schemas.openxmlformats.org/officeDocument/2006/relationships" ref="T111" r:id="R0bacdd8093124be0"/>
    <x:hyperlink xmlns:r="http://schemas.openxmlformats.org/officeDocument/2006/relationships" ref="T112" r:id="Rb138f883baac424c"/>
    <x:hyperlink xmlns:r="http://schemas.openxmlformats.org/officeDocument/2006/relationships" ref="T113" r:id="R8c0198db5feb4222"/>
    <x:hyperlink xmlns:r="http://schemas.openxmlformats.org/officeDocument/2006/relationships" ref="T114" r:id="Rc751cc11610b40ad"/>
    <x:hyperlink xmlns:r="http://schemas.openxmlformats.org/officeDocument/2006/relationships" ref="T115" r:id="R9302eb1dc3194884"/>
    <x:hyperlink xmlns:r="http://schemas.openxmlformats.org/officeDocument/2006/relationships" ref="T116" r:id="R0d85fe0d31084797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15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  <x:col min="13" max="13" width="1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25" t="str">
        <x:v>Karışım Karşılaştırma ve Deney Dayanım Sonuçları</x:v>
      </x:c>
      <x:c r="B1" s="26" t="str">
        <x:v>Karışım Karşılaştırma ve Deney Dayanım Sonuçları</x:v>
      </x:c>
      <x:c r="C1" s="26" t="str">
        <x:v>Karışım Karşılaştırma ve Deney Dayanım Sonuçları</x:v>
      </x:c>
      <x:c r="D1" s="26" t="str">
        <x:v>Karışım Karşılaştırma ve Deney Dayanım Sonuçları</x:v>
      </x:c>
      <x:c r="E1" s="26" t="str">
        <x:v>Karışım Karşılaştırma ve Deney Dayanım Sonuçları</x:v>
      </x:c>
      <x:c r="F1" s="26" t="str">
        <x:v>Karışım Karşılaştırma ve Deney Dayanım Sonuçları</x:v>
      </x:c>
      <x:c r="G1" s="26" t="str">
        <x:v>Karışım Karşılaştırma ve Deney Dayanım Sonuçları</x:v>
      </x:c>
      <x:c r="H1" s="26" t="str">
        <x:v>Karışım Karşılaştırma ve Deney Dayanım Sonuçları</x:v>
      </x:c>
      <x:c r="I1" s="26" t="str">
        <x:v>Karışım Karşılaştırma ve Deney Dayanım Sonuçları</x:v>
      </x:c>
      <x:c r="J1" s="26" t="str">
        <x:v>Karışım Karşılaştırma ve Deney Dayanım Sonuçları</x:v>
      </x:c>
      <x:c r="K1" s="26" t="str">
        <x:v>Karışım Karşılaştırma ve Deney Dayanım Sonuçları</x:v>
      </x:c>
      <x:c r="L1" s="26" t="str">
        <x:v>Karışım Karşılaştırma ve Deney Dayanım Sonuçları</x:v>
      </x:c>
      <x:c r="M1" s="26" t="str">
        <x:v>Karışım Karşılaştırma ve Deney Dayanım Sonuçları</x:v>
      </x:c>
      <x:c r="N1" s="26" t="str">
        <x:v>Karışım Karşılaştırma ve Deney Dayanım Sonuçları</x:v>
      </x:c>
      <x:c r="O1" s="26" t="str">
        <x:v>Karışım Karşılaştırma ve Deney Dayanım Sonuçları</x:v>
      </x:c>
      <x:c r="P1" s="26" t="str">
        <x:v>Karışım Karşılaştırma ve Deney Dayanım Sonuçları</x:v>
      </x:c>
      <x:c r="Q1" s="27" t="str">
        <x:v>Karışım Karşılaştırma ve Deney Dayanım Sonuçları</x:v>
      </x:c>
    </x:row>
    <x:row r="2" ht="28" customHeight="1">
      <x:c r="A2" s="31" t="str">
        <x:v>Seçilen literatür satırlarının kontrollü karşılaştırması; sarı hücrelere deney sonuçlarını girince tüm özetler ve dağılım grafiği güncellenir.</x:v>
      </x:c>
      <x:c r="B2" s="31" t="str">
        <x:v>Seçilen literatür satırlarının kontrollü karşılaştırması; sarı hücrelere deney sonuçlarını girince tüm özetler ve dağılım grafiği güncellenir.</x:v>
      </x:c>
      <x:c r="C2" s="31" t="str">
        <x:v>Seçilen literatür satırlarının kontrollü karşılaştırması; sarı hücrelere deney sonuçlarını girince tüm özetler ve dağılım grafiği güncellenir.</x:v>
      </x:c>
      <x:c r="D2" s="31" t="str">
        <x:v>Seçilen literatür satırlarının kontrollü karşılaştırması; sarı hücrelere deney sonuçlarını girince tüm özetler ve dağılım grafiği güncellenir.</x:v>
      </x:c>
      <x:c r="E2" s="31" t="str">
        <x:v>Seçilen literatür satırlarının kontrollü karşılaştırması; sarı hücrelere deney sonuçlarını girince tüm özetler ve dağılım grafiği güncellenir.</x:v>
      </x:c>
      <x:c r="F2" s="31" t="str">
        <x:v>Seçilen literatür satırlarının kontrollü karşılaştırması; sarı hücrelere deney sonuçlarını girince tüm özetler ve dağılım grafiği güncellenir.</x:v>
      </x:c>
      <x:c r="G2" s="31" t="str">
        <x:v>Seçilen literatür satırlarının kontrollü karşılaştırması; sarı hücrelere deney sonuçlarını girince tüm özetler ve dağılım grafiği güncellenir.</x:v>
      </x:c>
      <x:c r="H2" s="31" t="str">
        <x:v>Seçilen literatür satırlarının kontrollü karşılaştırması; sarı hücrelere deney sonuçlarını girince tüm özetler ve dağılım grafiği güncellenir.</x:v>
      </x:c>
      <x:c r="I2" s="31" t="str">
        <x:v>Seçilen literatür satırlarının kontrollü karşılaştırması; sarı hücrelere deney sonuçlarını girince tüm özetler ve dağılım grafiği güncellenir.</x:v>
      </x:c>
      <x:c r="J2" s="31" t="str">
        <x:v>Seçilen literatür satırlarının kontrollü karşılaştırması; sarı hücrelere deney sonuçlarını girince tüm özetler ve dağılım grafiği güncellenir.</x:v>
      </x:c>
      <x:c r="K2" s="31" t="str">
        <x:v>Seçilen literatür satırlarının kontrollü karşılaştırması; sarı hücrelere deney sonuçlarını girince tüm özetler ve dağılım grafiği güncellenir.</x:v>
      </x:c>
      <x:c r="L2" s="31" t="str">
        <x:v>Seçilen literatür satırlarının kontrollü karşılaştırması; sarı hücrelere deney sonuçlarını girince tüm özetler ve dağılım grafiği güncellenir.</x:v>
      </x:c>
      <x:c r="M2" s="31" t="str">
        <x:v>Seçilen literatür satırlarının kontrollü karşılaştırması; sarı hücrelere deney sonuçlarını girince tüm özetler ve dağılım grafiği güncellenir.</x:v>
      </x:c>
      <x:c r="N2" s="31" t="str">
        <x:v>Seçilen literatür satırlarının kontrollü karşılaştırması; sarı hücrelere deney sonuçlarını girince tüm özetler ve dağılım grafiği güncellenir.</x:v>
      </x:c>
      <x:c r="O2" s="31" t="str">
        <x:v>Seçilen literatür satırlarının kontrollü karşılaştırması; sarı hücrelere deney sonuçlarını girince tüm özetler ve dağılım grafiği güncellenir.</x:v>
      </x:c>
      <x:c r="P2" s="31" t="str">
        <x:v>Seçilen literatür satırlarının kontrollü karşılaştırması; sarı hücrelere deney sonuçlarını girince tüm özetler ve dağılım grafiği güncellenir.</x:v>
      </x:c>
      <x:c r="Q2" s="31" t="str">
        <x:v>Seçilen literatür satırlarının kontrollü karşılaştırması; sarı hücrelere deney sonuçlarını girince tüm özetler ve dağılım grafiği güncellenir.</x:v>
      </x:c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</x:row>
    <x:row r="4" ht="24" customHeight="1">
      <x:c r="A4" s="38" t="str">
        <x:v>Seçilen kaynak satırı</x:v>
      </x:c>
      <x:c r="B4" s="39" t="str">
        <x:v>Seçilen kaynak satırı</x:v>
      </x:c>
      <x:c r="C4" s="38" t="str">
        <x:v>Seçilen karışım</x:v>
      </x:c>
      <x:c r="D4" s="39" t="str">
        <x:v>Seçilen karışım</x:v>
      </x:c>
      <x:c r="E4" s="38" t="str">
        <x:v>Literatür dayanımı (MPa)</x:v>
      </x:c>
      <x:c r="F4" s="39" t="str">
        <x:v>Literatür dayanımı (MPa)</x:v>
      </x:c>
      <x:c r="G4" s="38" t="str">
        <x:v>Deney sonucu (MPa)</x:v>
      </x:c>
      <x:c r="H4" s="39" t="str">
        <x:v>Deney sonucu (MPa)</x:v>
      </x:c>
      <x:c r="I4" s="38" t="str">
        <x:v>Deney − literatür (MPa)</x:v>
      </x:c>
      <x:c r="J4" s="39" t="str">
        <x:v>Deney − literatür (MPa)</x:v>
      </x:c>
      <x:c r="K4" s="38" t="str">
        <x:v>Seçim durumu</x:v>
      </x:c>
      <x:c r="L4" s="39" t="str">
        <x:v>Seçim durumu</x:v>
      </x:c>
      <x:c r="M4" s="16"/>
      <x:c r="N4" s="16"/>
      <x:c r="O4" s="16"/>
      <x:c r="P4" s="16"/>
      <x:c r="Q4" s="16"/>
    </x:row>
    <x:row r="5" ht="24" customHeight="1">
      <x:c r="A5" s="54" t="n">
        <x:f>IF(COUNT($D$12:$D$21)&gt;0,INDEX($A$12:$A$21,MATCH(MAX($D$12:$D$21),$D$12:$D$21,0)),INDEX($A$12:$A$21,MATCH(MAX($C$12:$C$21),$C$12:$C$21,0)))</x:f>
        <x:v>16</x:v>
      </x:c>
      <x:c r="B5" s="55"/>
      <x:c r="C5" s="62" t="str">
        <x:f>IFERROR(INDEX($B$12:$B$21,MATCH($A$5,$A$12:$A$21,0)),"")</x:f>
        <x:v>425Ç75SD948InA681IA175S</x:v>
      </x:c>
      <x:c r="D5" s="63"/>
      <x:c r="E5" s="74" t="n">
        <x:f>IFERROR(INDEX($C$12:$C$21,MATCH($A$5,$A$12:$A$21,0)),"")</x:f>
        <x:v>87.6</x:v>
      </x:c>
      <x:c r="F5" s="75"/>
      <x:c r="G5" s="74" t="str">
        <x:f>IFERROR(INDEX($D$12:$D$21,MATCH($A$5,$A$12:$A$21,0)),"")</x:f>
      </x:c>
      <x:c r="H5" s="75"/>
      <x:c r="I5" s="74" t="str">
        <x:f>IF(OR($G$5="",$E$5=""),"",$G$5-$E$5)</x:f>
      </x:c>
      <x:c r="J5" s="75"/>
      <x:c r="K5" s="88" t="str">
        <x:f>IF($G$5="","Deney sonucu bekleniyor",IF($I$5&gt;0,"Deney sonucu daha yüksek",IF($I$5&lt;0,"Literatür daha yüksek","Literatür ile aynı")))</x:f>
        <x:v>Deney sonucu bekleniyor</x:v>
      </x:c>
      <x:c r="L5" s="89"/>
      <x:c r="M5" s="16"/>
      <x:c r="N5" s="16"/>
      <x:c r="O5" s="16"/>
      <x:c r="P5" s="16"/>
      <x:c r="Q5" s="16"/>
    </x:row>
    <x:row r="6" ht="24" customHeight="1">
      <x:c r="A6" s="56"/>
      <x:c r="B6" s="57"/>
      <x:c r="C6" s="64"/>
      <x:c r="D6" s="65"/>
      <x:c r="E6" s="76"/>
      <x:c r="F6" s="77"/>
      <x:c r="G6" s="76"/>
      <x:c r="H6" s="77"/>
      <x:c r="I6" s="76"/>
      <x:c r="J6" s="77"/>
      <x:c r="K6" s="90"/>
      <x:c r="L6" s="91"/>
      <x:c r="M6" s="16"/>
      <x:c r="N6" s="16"/>
      <x:c r="O6" s="16"/>
      <x:c r="P6" s="16"/>
      <x:c r="Q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</x:row>
    <x:row r="8" ht="26" customHeight="1">
      <x:c r="A8" s="97" t="str">
        <x:v>Not: Deney sonucu (MPa) sütununa ölçüm girildiğinde fark, lider karışım ve seçim durumu otomatik hesaplanır.</x:v>
      </x:c>
      <x:c r="B8" s="98" t="str">
        <x:v>Not: Deney sonucu (MPa) sütununa ölçüm girildiğinde fark, lider karışım ve seçim durumu otomatik hesaplanır.</x:v>
      </x:c>
      <x:c r="C8" s="98" t="str">
        <x:v>Not: Deney sonucu (MPa) sütununa ölçüm girildiğinde fark, lider karışım ve seçim durumu otomatik hesaplanır.</x:v>
      </x:c>
      <x:c r="D8" s="98" t="str">
        <x:v>Not: Deney sonucu (MPa) sütununa ölçüm girildiğinde fark, lider karışım ve seçim durumu otomatik hesaplanır.</x:v>
      </x:c>
      <x:c r="E8" s="98" t="str">
        <x:v>Not: Deney sonucu (MPa) sütununa ölçüm girildiğinde fark, lider karışım ve seçim durumu otomatik hesaplanır.</x:v>
      </x:c>
      <x:c r="F8" s="98" t="str">
        <x:v>Not: Deney sonucu (MPa) sütununa ölçüm girildiğinde fark, lider karışım ve seçim durumu otomatik hesaplanır.</x:v>
      </x:c>
      <x:c r="G8" s="98" t="str">
        <x:v>Not: Deney sonucu (MPa) sütununa ölçüm girildiğinde fark, lider karışım ve seçim durumu otomatik hesaplanır.</x:v>
      </x:c>
      <x:c r="H8" s="99" t="str">
        <x:v>Not: Deney sonucu (MPa) sütununa ölçüm girildiğinde fark, lider karışım ve seçim durumu otomatik hesaplanır.</x:v>
      </x:c>
      <x:c r="I8" s="16"/>
      <x:c r="J8" s="16"/>
      <x:c r="K8" s="16"/>
      <x:c r="L8" s="16"/>
      <x:c r="M8" s="16"/>
      <x:c r="N8" s="16"/>
      <x:c r="O8" s="16"/>
      <x:c r="P8" s="16"/>
      <x:c r="Q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</x:row>
    <x:row r="10" ht="22" customHeight="1">
      <x:c r="A10" s="105" t="str">
        <x:v>Deney Dayanım Ölçümleri</x:v>
      </x:c>
      <x:c r="B10" s="106" t="str">
        <x:v>Deney Dayanım Ölçümleri</x:v>
      </x:c>
      <x:c r="C10" s="106" t="str">
        <x:v>Deney Dayanım Ölçümleri</x:v>
      </x:c>
      <x:c r="D10" s="106" t="str">
        <x:v>Deney Dayanım Ölçümleri</x:v>
      </x:c>
      <x:c r="E10" s="106" t="str">
        <x:v>Deney Dayanım Ölçümleri</x:v>
      </x:c>
      <x:c r="F10" s="106" t="str">
        <x:v>Deney Dayanım Ölçümleri</x:v>
      </x:c>
      <x:c r="G10" s="106" t="str">
        <x:v>Deney Dayanım Ölçümleri</x:v>
      </x:c>
      <x:c r="H10" s="107" t="str">
        <x:v>Deney Dayanım Ölçümleri</x:v>
      </x:c>
      <x:c r="I10" s="16"/>
      <x:c r="J10" s="16"/>
      <x:c r="K10" s="16"/>
      <x:c r="L10" s="16"/>
      <x:c r="M10" s="16"/>
      <x:c r="N10" s="16"/>
      <x:c r="O10" s="16"/>
      <x:c r="P10" s="16"/>
      <x:c r="Q10" s="16"/>
    </x:row>
    <x:row r="11" ht="38" customHeight="1">
      <x:c r="A11" s="112" t="str">
        <x:v>Kaynak satırı</x:v>
      </x:c>
      <x:c r="B11" s="112" t="str">
        <x:v>Karışım No</x:v>
      </x:c>
      <x:c r="C11" s="112" t="str">
        <x:v>Literatür dayanımı (MPa)</x:v>
      </x:c>
      <x:c r="D11" s="112" t="str">
        <x:v>Deney sonucu (MPa) — giriş</x:v>
      </x:c>
      <x:c r="E11" s="112" t="str">
        <x:v>Fark (MPa)</x:v>
      </x:c>
      <x:c r="F11" s="112" t="str">
        <x:v>Mutlak fark (%)</x:v>
      </x:c>
      <x:c r="G11" s="112" t="str">
        <x:v>Durum</x:v>
      </x:c>
      <x:c r="H11" s="112" t="str">
        <x:v>Karşılaştırma grubu</x:v>
      </x:c>
      <x:c r="I11" s="16"/>
      <x:c r="J11" s="16"/>
      <x:c r="K11" s="16"/>
      <x:c r="L11" s="16"/>
      <x:c r="M11" s="16"/>
      <x:c r="N11" s="16"/>
      <x:c r="O11" s="16"/>
      <x:c r="P11" s="16"/>
      <x:c r="Q11" s="16"/>
    </x:row>
    <x:row r="12" ht="28" customHeight="1">
      <x:c r="A12" s="121" t="n">
        <x:v>7</x:v>
      </x:c>
      <x:c r="B12" s="116" t="str">
        <x:f>'Sayfa1'!A7</x:f>
        <x:v>488Ç866InA897IA170S</x:v>
      </x:c>
      <x:c r="C12" s="125" t="n">
        <x:f>IFERROR(VALUE('Sayfa1'!R7),0)</x:f>
        <x:v>76.9</x:v>
      </x:c>
      <x:c r="D12" s="136"/>
      <x:c r="E12" s="125" t="str">
        <x:f>IF(D12="","",D12-C12)</x:f>
      </x:c>
      <x:c r="F12" s="141" t="str">
        <x:f>IF(OR(D12="",C12=0),"",ABS(E12)/C12)</x:f>
      </x:c>
      <x:c r="G12" s="143" t="str">
        <x:f>IF(D12="","Deney sonucu bekleniyor",IF(E12&gt;0,"Deney sonucu daha yüksek",IF(E12&lt;0,"Literatür daha yüksek","Eşit")))</x:f>
        <x:v>Deney sonucu bekleniyor</x:v>
      </x:c>
      <x:c r="H12" s="143" t="str">
        <x:v>7 ↔ 9</x:v>
      </x:c>
      <x:c r="I12" s="16"/>
      <x:c r="J12" s="16"/>
      <x:c r="K12" s="16"/>
      <x:c r="L12" s="16"/>
      <x:c r="M12" s="16"/>
      <x:c r="N12" s="16"/>
      <x:c r="O12" s="16"/>
      <x:c r="P12" s="16"/>
      <x:c r="Q12" s="16"/>
    </x:row>
    <x:row r="13" ht="28" customHeight="1">
      <x:c r="A13" s="122" t="n">
        <x:v>8</x:v>
      </x:c>
      <x:c r="B13" s="117" t="str">
        <x:f>'Sayfa1'!A8</x:f>
        <x:v>446Ç38.8MK877InA904IA171S</x:v>
      </x:c>
      <x:c r="C13" s="126" t="n">
        <x:f>IFERROR(VALUE('Sayfa1'!R8),0)</x:f>
        <x:v>79.3</x:v>
      </x:c>
      <x:c r="D13" s="137"/>
      <x:c r="E13" s="126" t="str">
        <x:f>IF(D13="","",D13-C13)</x:f>
      </x:c>
      <x:c r="F13" s="142" t="str">
        <x:f>IF(OR(D13="",C13=0),"",ABS(E13)/C13)</x:f>
      </x:c>
      <x:c r="G13" s="144" t="str">
        <x:f>IF(D13="","Deney sonucu bekleniyor",IF(E13&gt;0,"Deney sonucu daha yüksek",IF(E13&lt;0,"Literatür daha yüksek","Eşit")))</x:f>
        <x:v>Deney sonucu bekleniyor</x:v>
      </x:c>
      <x:c r="H13" s="144" t="str">
        <x:v>7 ↔ 9</x:v>
      </x:c>
      <x:c r="I13" s="16"/>
      <x:c r="J13" s="16"/>
      <x:c r="K13" s="16"/>
      <x:c r="L13" s="16"/>
      <x:c r="M13" s="16"/>
      <x:c r="N13" s="16"/>
      <x:c r="O13" s="16"/>
      <x:c r="P13" s="16"/>
      <x:c r="Q13" s="16"/>
    </x:row>
    <x:row r="14" ht="28" customHeight="1">
      <x:c r="A14" s="122" t="n">
        <x:v>9</x:v>
      </x:c>
      <x:c r="B14" s="117" t="str">
        <x:f>'Sayfa1'!A9</x:f>
        <x:v>406Ç77.4MK862InA891IA169S</x:v>
      </x:c>
      <x:c r="C14" s="126" t="n">
        <x:f>IFERROR(VALUE('Sayfa1'!R9),0)</x:f>
        <x:v>81.2</x:v>
      </x:c>
      <x:c r="D14" s="137"/>
      <x:c r="E14" s="126" t="str">
        <x:f>IF(D14="","",D14-C14)</x:f>
      </x:c>
      <x:c r="F14" s="142" t="str">
        <x:f>IF(OR(D14="",C14=0),"",ABS(E14)/C14)</x:f>
      </x:c>
      <x:c r="G14" s="144" t="str">
        <x:f>IF(D14="","Deney sonucu bekleniyor",IF(E14&gt;0,"Deney sonucu daha yüksek",IF(E14&lt;0,"Literatür daha yüksek","Eşit")))</x:f>
        <x:v>Deney sonucu bekleniyor</x:v>
      </x:c>
      <x:c r="H14" s="144" t="str">
        <x:v>7 ↔ 9</x:v>
      </x:c>
      <x:c r="I14" s="16"/>
      <x:c r="J14" s="16"/>
      <x:c r="K14" s="16"/>
      <x:c r="L14" s="16"/>
      <x:c r="M14" s="16"/>
      <x:c r="N14" s="16"/>
      <x:c r="O14" s="16"/>
      <x:c r="P14" s="16"/>
      <x:c r="Q14" s="16"/>
    </x:row>
    <x:row r="15" ht="28" customHeight="1">
      <x:c r="A15" s="122" t="n">
        <x:v>13</x:v>
      </x:c>
      <x:c r="B15" s="117" t="str">
        <x:f>'Sayfa1'!A13</x:f>
        <x:v>500Ç967InA694IA175S</x:v>
      </x:c>
      <x:c r="C15" s="126" t="n">
        <x:f>IFERROR(VALUE('Sayfa1'!R13),0)</x:f>
        <x:v>78.3</x:v>
      </x:c>
      <x:c r="D15" s="137"/>
      <x:c r="E15" s="126" t="str">
        <x:f>IF(D15="","",D15-C15)</x:f>
      </x:c>
      <x:c r="F15" s="142" t="str">
        <x:f>IF(OR(D15="",C15=0),"",ABS(E15)/C15)</x:f>
      </x:c>
      <x:c r="G15" s="144" t="str">
        <x:f>IF(D15="","Deney sonucu bekleniyor",IF(E15&gt;0,"Deney sonucu daha yüksek",IF(E15&lt;0,"Literatür daha yüksek","Eşit")))</x:f>
        <x:v>Deney sonucu bekleniyor</x:v>
      </x:c>
      <x:c r="H15" s="144" t="str">
        <x:v>13 ↔ 16 / 13 ↔ 17</x:v>
      </x:c>
      <x:c r="I15" s="16"/>
      <x:c r="J15" s="16"/>
      <x:c r="K15" s="16"/>
      <x:c r="L15" s="16"/>
      <x:c r="M15" s="16"/>
      <x:c r="N15" s="16"/>
      <x:c r="O15" s="16"/>
      <x:c r="P15" s="16"/>
      <x:c r="Q15" s="16"/>
    </x:row>
    <x:row r="16" ht="28" customHeight="1">
      <x:c r="A16" s="122" t="n">
        <x:v>16</x:v>
      </x:c>
      <x:c r="B16" s="117" t="str">
        <x:f>'Sayfa1'!A16</x:f>
        <x:v>425Ç75SD948InA681IA175S</x:v>
      </x:c>
      <x:c r="C16" s="126" t="n">
        <x:f>IFERROR(VALUE('Sayfa1'!R16),0)</x:f>
        <x:v>87.6</x:v>
      </x:c>
      <x:c r="D16" s="137"/>
      <x:c r="E16" s="126" t="str">
        <x:f>IF(D16="","",D16-C16)</x:f>
      </x:c>
      <x:c r="F16" s="142" t="str">
        <x:f>IF(OR(D16="",C16=0),"",ABS(E16)/C16)</x:f>
      </x:c>
      <x:c r="G16" s="144" t="str">
        <x:f>IF(D16="","Deney sonucu bekleniyor",IF(E16&gt;0,"Deney sonucu daha yüksek",IF(E16&lt;0,"Literatür daha yüksek","Eşit")))</x:f>
        <x:v>Deney sonucu bekleniyor</x:v>
      </x:c>
      <x:c r="H16" s="144" t="str">
        <x:v>13 ↔ 16</x:v>
      </x:c>
      <x:c r="I16" s="16"/>
      <x:c r="J16" s="16"/>
      <x:c r="K16" s="16"/>
      <x:c r="L16" s="16"/>
      <x:c r="M16" s="16"/>
      <x:c r="N16" s="16"/>
      <x:c r="O16" s="16"/>
      <x:c r="P16" s="16"/>
      <x:c r="Q16" s="16"/>
    </x:row>
    <x:row r="17" ht="28" customHeight="1">
      <x:c r="A17" s="122" t="n">
        <x:v>17</x:v>
      </x:c>
      <x:c r="B17" s="117" t="str">
        <x:f>'Sayfa1'!A17</x:f>
        <x:v>375Ç125UK938InA673IA175S</x:v>
      </x:c>
      <x:c r="C17" s="126" t="n">
        <x:f>IFERROR(VALUE('Sayfa1'!R17),0)</x:f>
        <x:v>61.5</x:v>
      </x:c>
      <x:c r="D17" s="137"/>
      <x:c r="E17" s="126" t="str">
        <x:f>IF(D17="","",D17-C17)</x:f>
      </x:c>
      <x:c r="F17" s="142" t="str">
        <x:f>IF(OR(D17="",C17=0),"",ABS(E17)/C17)</x:f>
      </x:c>
      <x:c r="G17" s="144" t="str">
        <x:f>IF(D17="","Deney sonucu bekleniyor",IF(E17&gt;0,"Deney sonucu daha yüksek",IF(E17&lt;0,"Literatür daha yüksek","Eşit")))</x:f>
        <x:v>Deney sonucu bekleniyor</x:v>
      </x:c>
      <x:c r="H17" s="144" t="str">
        <x:v>13 ↔ 17</x:v>
      </x:c>
      <x:c r="I17" s="16"/>
      <x:c r="J17" s="16"/>
      <x:c r="K17" s="16"/>
      <x:c r="L17" s="16"/>
      <x:c r="M17" s="16"/>
      <x:c r="N17" s="16"/>
      <x:c r="O17" s="16"/>
      <x:c r="P17" s="16"/>
      <x:c r="Q17" s="16"/>
    </x:row>
    <x:row r="18" ht="28" customHeight="1">
      <x:c r="A18" s="122" t="n">
        <x:v>88</x:v>
      </x:c>
      <x:c r="B18" s="117" t="str">
        <x:f>'Sayfa1'!A88</x:f>
        <x:v>400Ç660.2InA1180IA173S</x:v>
      </x:c>
      <x:c r="C18" s="126" t="n">
        <x:f>IFERROR(VALUE('Sayfa1'!R88),0)</x:f>
        <x:v>39.57</x:v>
      </x:c>
      <x:c r="D18" s="137"/>
      <x:c r="E18" s="126" t="str">
        <x:f>IF(D18="","",D18-C18)</x:f>
      </x:c>
      <x:c r="F18" s="142" t="str">
        <x:f>IF(OR(D18="",C18=0),"",ABS(E18)/C18)</x:f>
      </x:c>
      <x:c r="G18" s="144" t="str">
        <x:f>IF(D18="","Deney sonucu bekleniyor",IF(E18&gt;0,"Deney sonucu daha yüksek",IF(E18&lt;0,"Literatür daha yüksek","Eşit")))</x:f>
        <x:v>Deney sonucu bekleniyor</x:v>
      </x:c>
      <x:c r="H18" s="144" t="str">
        <x:v>88 ↔ 89</x:v>
      </x:c>
      <x:c r="I18" s="16"/>
      <x:c r="J18" s="16"/>
      <x:c r="K18" s="16"/>
      <x:c r="L18" s="16"/>
      <x:c r="M18" s="16"/>
      <x:c r="N18" s="16"/>
      <x:c r="O18" s="16"/>
      <x:c r="P18" s="16"/>
      <x:c r="Q18" s="16"/>
    </x:row>
    <x:row r="19" ht="28" customHeight="1">
      <x:c r="A19" s="122" t="n">
        <x:v>89</x:v>
      </x:c>
      <x:c r="B19" s="117" t="str">
        <x:f>'Sayfa1'!A89</x:f>
        <x:v>400Ç660.2InA826IA354RCA167S</x:v>
      </x:c>
      <x:c r="C19" s="126" t="n">
        <x:f>IFERROR(VALUE('Sayfa1'!R89),0)</x:f>
        <x:v>35.59</x:v>
      </x:c>
      <x:c r="D19" s="137"/>
      <x:c r="E19" s="126" t="str">
        <x:f>IF(D19="","",D19-C19)</x:f>
      </x:c>
      <x:c r="F19" s="142" t="str">
        <x:f>IF(OR(D19="",C19=0),"",ABS(E19)/C19)</x:f>
      </x:c>
      <x:c r="G19" s="144" t="str">
        <x:f>IF(D19="","Deney sonucu bekleniyor",IF(E19&gt;0,"Deney sonucu daha yüksek",IF(E19&lt;0,"Literatür daha yüksek","Eşit")))</x:f>
        <x:v>Deney sonucu bekleniyor</x:v>
      </x:c>
      <x:c r="H19" s="144" t="str">
        <x:v>88 ↔ 89</x:v>
      </x:c>
      <x:c r="I19" s="16"/>
      <x:c r="J19" s="16"/>
      <x:c r="K19" s="16"/>
      <x:c r="L19" s="16"/>
      <x:c r="M19" s="16"/>
      <x:c r="N19" s="16"/>
      <x:c r="O19" s="16"/>
      <x:c r="P19" s="16"/>
      <x:c r="Q19" s="16"/>
    </x:row>
    <x:row r="20" ht="28" customHeight="1">
      <x:c r="A20" s="122" t="n">
        <x:v>113</x:v>
      </x:c>
      <x:c r="B20" s="117" t="str">
        <x:f>'Sayfa1'!A113</x:f>
        <x:v>180Ç180YFC869InA987IA160S</x:v>
      </x:c>
      <x:c r="C20" s="126" t="n">
        <x:f>IFERROR(VALUE('Sayfa1'!R113),0)</x:f>
        <x:v>44</x:v>
      </x:c>
      <x:c r="D20" s="137"/>
      <x:c r="E20" s="126" t="str">
        <x:f>IF(D20="","",D20-C20)</x:f>
      </x:c>
      <x:c r="F20" s="142" t="str">
        <x:f>IF(OR(D20="",C20=0),"",ABS(E20)/C20)</x:f>
      </x:c>
      <x:c r="G20" s="144" t="str">
        <x:f>IF(D20="","Deney sonucu bekleniyor",IF(E20&gt;0,"Deney sonucu daha yüksek",IF(E20&lt;0,"Literatür daha yüksek","Eşit")))</x:f>
        <x:v>Deney sonucu bekleniyor</x:v>
      </x:c>
      <x:c r="H20" s="144" t="str">
        <x:v>113 ↔ 116</x:v>
      </x:c>
      <x:c r="I20" s="16"/>
      <x:c r="J20" s="16"/>
      <x:c r="K20" s="16"/>
      <x:c r="L20" s="16"/>
      <x:c r="M20" s="16"/>
      <x:c r="N20" s="16"/>
      <x:c r="O20" s="16"/>
      <x:c r="P20" s="16"/>
      <x:c r="Q20" s="16"/>
    </x:row>
    <x:row r="21" ht="28" customHeight="1">
      <x:c r="A21" s="122" t="n">
        <x:v>116</x:v>
      </x:c>
      <x:c r="B21" s="118" t="str">
        <x:f>'Sayfa1'!A116</x:f>
        <x:v>360Ç868InA982IA163S</x:v>
      </x:c>
      <x:c r="C21" s="126" t="n">
        <x:f>IFERROR(VALUE('Sayfa1'!R116),0)</x:f>
        <x:v>46.9</x:v>
      </x:c>
      <x:c r="D21" s="138"/>
      <x:c r="E21" s="126" t="str">
        <x:f>IF(D21="","",D21-C21)</x:f>
      </x:c>
      <x:c r="F21" s="142" t="str">
        <x:f>IF(OR(D21="",C21=0),"",ABS(E21)/C21)</x:f>
      </x:c>
      <x:c r="G21" s="144" t="str">
        <x:f>IF(D21="","Deney sonucu bekleniyor",IF(E21&gt;0,"Deney sonucu daha yüksek",IF(E21&lt;0,"Literatür daha yüksek","Eşit")))</x:f>
        <x:v>Deney sonucu bekleniyor</x:v>
      </x:c>
      <x:c r="H21" s="144" t="str">
        <x:v>113 ↔ 116</x:v>
      </x:c>
      <x:c r="I21" s="16"/>
      <x:c r="J21" s="16"/>
      <x:c r="K21" s="16"/>
      <x:c r="L21" s="16"/>
      <x:c r="M21" s="16"/>
      <x:c r="N21" s="16"/>
      <x:c r="O21" s="16"/>
      <x:c r="P21" s="16"/>
      <x:c r="Q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</x:row>
    <x:row r="23" ht="22" customHeight="1">
      <x:c r="A23" s="105" t="str">
        <x:v>Karşılaştırma Özeti</x:v>
      </x:c>
      <x:c r="B23" s="106" t="str">
        <x:v>Karşılaştırma Özeti</x:v>
      </x:c>
      <x:c r="C23" s="106" t="str">
        <x:v>Karşılaştırma Özeti</x:v>
      </x:c>
      <x:c r="D23" s="106" t="str">
        <x:v>Karşılaştırma Özeti</x:v>
      </x:c>
      <x:c r="E23" s="106" t="str">
        <x:v>Karşılaştırma Özeti</x:v>
      </x:c>
      <x:c r="F23" s="106" t="str">
        <x:v>Karşılaştırma Özeti</x:v>
      </x:c>
      <x:c r="G23" s="106" t="str">
        <x:v>Karşılaştırma Özeti</x:v>
      </x:c>
      <x:c r="H23" s="106" t="str">
        <x:v>Karşılaştırma Özeti</x:v>
      </x:c>
      <x:c r="I23" s="106" t="str">
        <x:v>Karşılaştırma Özeti</x:v>
      </x:c>
      <x:c r="J23" s="106" t="str">
        <x:v>Karşılaştırma Özeti</x:v>
      </x:c>
      <x:c r="K23" s="106" t="str">
        <x:v>Karşılaştırma Özeti</x:v>
      </x:c>
      <x:c r="L23" s="107" t="str">
        <x:v>Karşılaştırma Özeti</x:v>
      </x:c>
      <x:c r="M23" s="16"/>
      <x:c r="N23" s="16"/>
      <x:c r="O23" s="16"/>
      <x:c r="P23" s="16"/>
      <x:c r="Q23" s="16"/>
    </x:row>
    <x:row r="24" ht="42" customHeight="1">
      <x:c r="A24" s="112" t="str">
        <x:v>Karşılaştırma</x:v>
      </x:c>
      <x:c r="B24" s="112" t="str">
        <x:v>Satır A</x:v>
      </x:c>
      <x:c r="C24" s="112" t="str">
        <x:v>Karışım A</x:v>
      </x:c>
      <x:c r="D24" s="112" t="str">
        <x:v>Literatür A (MPa)</x:v>
      </x:c>
      <x:c r="E24" s="112" t="str">
        <x:v>Deney A (MPa)</x:v>
      </x:c>
      <x:c r="F24" s="112" t="str">
        <x:v>Satır B</x:v>
      </x:c>
      <x:c r="G24" s="112" t="str">
        <x:v>Karışım B</x:v>
      </x:c>
      <x:c r="H24" s="112" t="str">
        <x:v>Literatür B (MPa)</x:v>
      </x:c>
      <x:c r="I24" s="112" t="str">
        <x:v>Deney B (MPa)</x:v>
      </x:c>
      <x:c r="J24" s="112" t="str">
        <x:v>Literatür farkı</x:v>
      </x:c>
      <x:c r="K24" s="112" t="str">
        <x:v>Deney farkı</x:v>
      </x:c>
      <x:c r="L24" s="112" t="str">
        <x:v>Deneyde önde</x:v>
      </x:c>
      <x:c r="M24" s="16"/>
      <x:c r="N24" s="16"/>
      <x:c r="O24" s="16"/>
      <x:c r="P24" s="16"/>
      <x:c r="Q24" s="16"/>
    </x:row>
    <x:row r="25" ht="34" customHeight="1">
      <x:c r="A25" s="148" t="str">
        <x:v>7 ↔ 9</x:v>
      </x:c>
      <x:c r="B25" s="121" t="n">
        <x:v>7</x:v>
      </x:c>
      <x:c r="C25" s="116" t="str">
        <x:f>INDEX($B$12:$B$21,MATCH(B25,$A$12:$A$21,0))</x:f>
        <x:v>488Ç866InA897IA170S</x:v>
      </x:c>
      <x:c r="D25" s="125" t="n">
        <x:f>INDEX($C$12:$C$21,MATCH(B25,$A$12:$A$21,0))</x:f>
        <x:v>76.9</x:v>
      </x:c>
      <x:c r="E25" s="125" t="str">
        <x:f>INDEX($D$12:$D$21,MATCH(B25,$A$12:$A$21,0))</x:f>
      </x:c>
      <x:c r="F25" s="121" t="n">
        <x:v>9</x:v>
      </x:c>
      <x:c r="G25" s="116" t="str">
        <x:f>INDEX($B$12:$B$21,MATCH(F25,$A$12:$A$21,0))</x:f>
        <x:v>406Ç77.4MK862InA891IA169S</x:v>
      </x:c>
      <x:c r="H25" s="125" t="n">
        <x:f>INDEX($C$12:$C$21,MATCH(F25,$A$12:$A$21,0))</x:f>
        <x:v>81.2</x:v>
      </x:c>
      <x:c r="I25" s="125" t="str">
        <x:f>INDEX($D$12:$D$21,MATCH(F25,$A$12:$A$21,0))</x:f>
      </x:c>
      <x:c r="J25" s="125" t="n">
        <x:f>D25-H25</x:f>
        <x:v>-4.299999999999997</x:v>
      </x:c>
      <x:c r="K25" s="125" t="str">
        <x:f>IF(OR(E25="",I25=""),"",E25-I25)</x:f>
      </x:c>
      <x:c r="L25" s="143" t="str">
        <x:f>IF(OR(E25="",I25=""),"Deney sonucu bekleniyor",IF(E25&gt;I25,"Satır "&amp;B25&amp;" önde",IF(I25&gt;E25,"Satır "&amp;F25&amp;" önde","Eşit")))</x:f>
        <x:v>Deney sonucu bekleniyor</x:v>
      </x:c>
      <x:c r="M25" s="16"/>
      <x:c r="N25" s="16"/>
      <x:c r="O25" s="16"/>
      <x:c r="P25" s="16"/>
      <x:c r="Q25" s="16"/>
    </x:row>
    <x:row r="26" ht="34" customHeight="1">
      <x:c r="A26" s="149" t="str">
        <x:v>13 ↔ 16</x:v>
      </x:c>
      <x:c r="B26" s="122" t="n">
        <x:v>13</x:v>
      </x:c>
      <x:c r="C26" s="117" t="str">
        <x:f>INDEX($B$12:$B$21,MATCH(B26,$A$12:$A$21,0))</x:f>
        <x:v>500Ç967InA694IA175S</x:v>
      </x:c>
      <x:c r="D26" s="126" t="n">
        <x:f>INDEX($C$12:$C$21,MATCH(B26,$A$12:$A$21,0))</x:f>
        <x:v>78.3</x:v>
      </x:c>
      <x:c r="E26" s="126" t="str">
        <x:f>INDEX($D$12:$D$21,MATCH(B26,$A$12:$A$21,0))</x:f>
      </x:c>
      <x:c r="F26" s="122" t="n">
        <x:v>16</x:v>
      </x:c>
      <x:c r="G26" s="117" t="str">
        <x:f>INDEX($B$12:$B$21,MATCH(F26,$A$12:$A$21,0))</x:f>
        <x:v>425Ç75SD948InA681IA175S</x:v>
      </x:c>
      <x:c r="H26" s="126" t="n">
        <x:f>INDEX($C$12:$C$21,MATCH(F26,$A$12:$A$21,0))</x:f>
        <x:v>87.6</x:v>
      </x:c>
      <x:c r="I26" s="126" t="str">
        <x:f>INDEX($D$12:$D$21,MATCH(F26,$A$12:$A$21,0))</x:f>
      </x:c>
      <x:c r="J26" s="126" t="n">
        <x:f>D26-H26</x:f>
        <x:v>-9.299999999999997</x:v>
      </x:c>
      <x:c r="K26" s="126" t="str">
        <x:f>IF(OR(E26="",I26=""),"",E26-I26)</x:f>
      </x:c>
      <x:c r="L26" s="144" t="str">
        <x:f>IF(OR(E26="",I26=""),"Deney sonucu bekleniyor",IF(E26&gt;I26,"Satır "&amp;B26&amp;" önde",IF(I26&gt;E26,"Satır "&amp;F26&amp;" önde","Eşit")))</x:f>
        <x:v>Deney sonucu bekleniyor</x:v>
      </x:c>
      <x:c r="M26" s="16"/>
      <x:c r="N26" s="16"/>
      <x:c r="O26" s="16"/>
      <x:c r="P26" s="16"/>
      <x:c r="Q26" s="16"/>
    </x:row>
    <x:row r="27" ht="34" customHeight="1">
      <x:c r="A27" s="149" t="str">
        <x:v>13 ↔ 17</x:v>
      </x:c>
      <x:c r="B27" s="122" t="n">
        <x:v>13</x:v>
      </x:c>
      <x:c r="C27" s="117" t="str">
        <x:f>INDEX($B$12:$B$21,MATCH(B27,$A$12:$A$21,0))</x:f>
        <x:v>500Ç967InA694IA175S</x:v>
      </x:c>
      <x:c r="D27" s="126" t="n">
        <x:f>INDEX($C$12:$C$21,MATCH(B27,$A$12:$A$21,0))</x:f>
        <x:v>78.3</x:v>
      </x:c>
      <x:c r="E27" s="126" t="str">
        <x:f>INDEX($D$12:$D$21,MATCH(B27,$A$12:$A$21,0))</x:f>
      </x:c>
      <x:c r="F27" s="122" t="n">
        <x:v>17</x:v>
      </x:c>
      <x:c r="G27" s="117" t="str">
        <x:f>INDEX($B$12:$B$21,MATCH(F27,$A$12:$A$21,0))</x:f>
        <x:v>375Ç125UK938InA673IA175S</x:v>
      </x:c>
      <x:c r="H27" s="126" t="n">
        <x:f>INDEX($C$12:$C$21,MATCH(F27,$A$12:$A$21,0))</x:f>
        <x:v>61.5</x:v>
      </x:c>
      <x:c r="I27" s="126" t="str">
        <x:f>INDEX($D$12:$D$21,MATCH(F27,$A$12:$A$21,0))</x:f>
      </x:c>
      <x:c r="J27" s="126" t="n">
        <x:f>D27-H27</x:f>
        <x:v>16.799999999999997</x:v>
      </x:c>
      <x:c r="K27" s="126" t="str">
        <x:f>IF(OR(E27="",I27=""),"",E27-I27)</x:f>
      </x:c>
      <x:c r="L27" s="144" t="str">
        <x:f>IF(OR(E27="",I27=""),"Deney sonucu bekleniyor",IF(E27&gt;I27,"Satır "&amp;B27&amp;" önde",IF(I27&gt;E27,"Satır "&amp;F27&amp;" önde","Eşit")))</x:f>
        <x:v>Deney sonucu bekleniyor</x:v>
      </x:c>
      <x:c r="M27" s="16"/>
      <x:c r="N27" s="16"/>
      <x:c r="O27" s="16"/>
      <x:c r="P27" s="16"/>
      <x:c r="Q27" s="16"/>
    </x:row>
    <x:row r="28" ht="34" customHeight="1">
      <x:c r="A28" s="149" t="str">
        <x:v>88 ↔ 89</x:v>
      </x:c>
      <x:c r="B28" s="122" t="n">
        <x:v>88</x:v>
      </x:c>
      <x:c r="C28" s="117" t="str">
        <x:f>INDEX($B$12:$B$21,MATCH(B28,$A$12:$A$21,0))</x:f>
        <x:v>400Ç660.2InA1180IA173S</x:v>
      </x:c>
      <x:c r="D28" s="126" t="n">
        <x:f>INDEX($C$12:$C$21,MATCH(B28,$A$12:$A$21,0))</x:f>
        <x:v>39.57</x:v>
      </x:c>
      <x:c r="E28" s="126" t="str">
        <x:f>INDEX($D$12:$D$21,MATCH(B28,$A$12:$A$21,0))</x:f>
      </x:c>
      <x:c r="F28" s="122" t="n">
        <x:v>89</x:v>
      </x:c>
      <x:c r="G28" s="117" t="str">
        <x:f>INDEX($B$12:$B$21,MATCH(F28,$A$12:$A$21,0))</x:f>
        <x:v>400Ç660.2InA826IA354RCA167S</x:v>
      </x:c>
      <x:c r="H28" s="126" t="n">
        <x:f>INDEX($C$12:$C$21,MATCH(F28,$A$12:$A$21,0))</x:f>
        <x:v>35.59</x:v>
      </x:c>
      <x:c r="I28" s="126" t="str">
        <x:f>INDEX($D$12:$D$21,MATCH(F28,$A$12:$A$21,0))</x:f>
      </x:c>
      <x:c r="J28" s="126" t="n">
        <x:f>D28-H28</x:f>
        <x:v>3.979999999999997</x:v>
      </x:c>
      <x:c r="K28" s="126" t="str">
        <x:f>IF(OR(E28="",I28=""),"",E28-I28)</x:f>
      </x:c>
      <x:c r="L28" s="144" t="str">
        <x:f>IF(OR(E28="",I28=""),"Deney sonucu bekleniyor",IF(E28&gt;I28,"Satır "&amp;B28&amp;" önde",IF(I28&gt;E28,"Satır "&amp;F28&amp;" önde","Eşit")))</x:f>
        <x:v>Deney sonucu bekleniyor</x:v>
      </x:c>
      <x:c r="M28" s="16"/>
      <x:c r="N28" s="16"/>
      <x:c r="O28" s="16"/>
      <x:c r="P28" s="16"/>
      <x:c r="Q28" s="16"/>
    </x:row>
    <x:row r="29" ht="34" customHeight="1">
      <x:c r="A29" s="149" t="str">
        <x:v>113 ↔ 116</x:v>
      </x:c>
      <x:c r="B29" s="122" t="n">
        <x:v>113</x:v>
      </x:c>
      <x:c r="C29" s="118" t="str">
        <x:f>INDEX($B$12:$B$21,MATCH(B29,$A$12:$A$21,0))</x:f>
        <x:v>180Ç180YFC869InA987IA160S</x:v>
      </x:c>
      <x:c r="D29" s="126" t="n">
        <x:f>INDEX($C$12:$C$21,MATCH(B29,$A$12:$A$21,0))</x:f>
        <x:v>44</x:v>
      </x:c>
      <x:c r="E29" s="126" t="str">
        <x:f>INDEX($D$12:$D$21,MATCH(B29,$A$12:$A$21,0))</x:f>
      </x:c>
      <x:c r="F29" s="122" t="n">
        <x:v>116</x:v>
      </x:c>
      <x:c r="G29" s="118" t="str">
        <x:f>INDEX($B$12:$B$21,MATCH(F29,$A$12:$A$21,0))</x:f>
        <x:v>360Ç868InA982IA163S</x:v>
      </x:c>
      <x:c r="H29" s="126" t="n">
        <x:f>INDEX($C$12:$C$21,MATCH(F29,$A$12:$A$21,0))</x:f>
        <x:v>46.9</x:v>
      </x:c>
      <x:c r="I29" s="126" t="str">
        <x:f>INDEX($D$12:$D$21,MATCH(F29,$A$12:$A$21,0))</x:f>
      </x:c>
      <x:c r="J29" s="126" t="n">
        <x:f>D29-H29</x:f>
        <x:v>-2.8999999999999986</x:v>
      </x:c>
      <x:c r="K29" s="126" t="str">
        <x:f>IF(OR(E29="",I29=""),"",E29-I29)</x:f>
      </x:c>
      <x:c r="L29" s="144" t="str">
        <x:f>IF(OR(E29="",I29=""),"Deney sonucu bekleniyor",IF(E29&gt;I29,"Satır "&amp;B29&amp;" önde",IF(I29&gt;E29,"Satır "&amp;F29&amp;" önde","Eşit")))</x:f>
        <x:v>Deney sonucu bekleniyor</x:v>
      </x:c>
      <x:c r="M29" s="16"/>
      <x:c r="N29" s="16"/>
      <x:c r="O29" s="16"/>
      <x:c r="P29" s="16"/>
      <x:c r="Q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</x:row>
    <x:row r="32" ht="22" customHeight="1">
      <x:c r="A32" s="105" t="str">
        <x:v>Pasta Dağılımı Verisi</x:v>
      </x:c>
      <x:c r="B32" s="107" t="str">
        <x:v>Pasta Dağılımı Verisi</x:v>
      </x:c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</x:row>
    <x:row r="33" ht="24" customHeight="1">
      <x:c r="A33" s="112" t="str">
        <x:v>Bileşen</x:v>
      </x:c>
      <x:c r="B33" s="112" t="str">
        <x:v>Miktar (kg)</x:v>
      </x:c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</x:row>
    <x:row r="34" ht="20" customHeight="1">
      <x:c r="A34" s="116" t="str">
        <x:v>Çimento</x:v>
      </x:c>
      <x:c r="B34" s="125" t="n">
        <x:f>IFERROR(VALUE(LEFT(TRIM(INDEX('Sayfa1'!$B$2:$B$122,$A$5-1)),FIND(" ",TRIM(INDEX('Sayfa1'!$B$2:$B$122,$A$5-1))&amp;" ")-1)),0)</x:f>
        <x:v>425</x:v>
      </x:c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</x:row>
    <x:row r="35" ht="20" customHeight="1">
      <x:c r="A35" s="117" t="str">
        <x:v>Uçucu kül</x:v>
      </x:c>
      <x:c r="B35" s="126" t="n">
        <x:f>IFERROR(VALUE(LEFT(TRIM(INDEX('Sayfa1'!$C$2:$C$122,$A$5-1)),FIND(" ",TRIM(INDEX('Sayfa1'!$C$2:$C$122,$A$5-1))&amp;" ")-1)),0)</x:f>
        <x:v>0</x:v>
      </x:c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</x:row>
    <x:row r="36" ht="20" customHeight="1">
      <x:c r="A36" s="117" t="str">
        <x:v>GGBFS</x:v>
      </x:c>
      <x:c r="B36" s="126" t="n">
        <x:f>IFERROR(VALUE(LEFT(TRIM(INDEX('Sayfa1'!$D$2:$D$122,$A$5-1)),FIND(" ",TRIM(INDEX('Sayfa1'!$D$2:$D$122,$A$5-1))&amp;" ")-1)),0)</x:f>
        <x:v>0</x:v>
      </x:c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</x:row>
    <x:row r="37" ht="20" customHeight="1">
      <x:c r="A37" s="117" t="str">
        <x:v>Silis dumanı</x:v>
      </x:c>
      <x:c r="B37" s="126" t="n">
        <x:f>IFERROR(VALUE(LEFT(TRIM(INDEX('Sayfa1'!$E$2:$E$122,$A$5-1)),FIND(" ",TRIM(INDEX('Sayfa1'!$E$2:$E$122,$A$5-1))&amp;" ")-1)),0)</x:f>
        <x:v>75</x:v>
      </x:c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</x:row>
    <x:row r="38" ht="20" customHeight="1">
      <x:c r="A38" s="117" t="str">
        <x:v>Metakaolin</x:v>
      </x:c>
      <x:c r="B38" s="126" t="n">
        <x:f>IFERROR(VALUE(LEFT(TRIM(INDEX('Sayfa1'!$F$2:$F$122,$A$5-1)),FIND(" ",TRIM(INDEX('Sayfa1'!$F$2:$F$122,$A$5-1))&amp;" ")-1)),0)</x:f>
        <x:v>0</x:v>
      </x:c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</x:row>
    <x:row r="39" ht="20" customHeight="1">
      <x:c r="A39" s="117" t="str">
        <x:v>İnce agrega</x:v>
      </x:c>
      <x:c r="B39" s="126" t="n">
        <x:f>IFERROR(VALUE(LEFT(TRIM(INDEX('Sayfa1'!$G$2:$G$122,$A$5-1)),FIND(" ",TRIM(INDEX('Sayfa1'!$G$2:$G$122,$A$5-1))&amp;" ")-1)),0)</x:f>
        <x:v>948</x:v>
      </x:c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</x:row>
    <x:row r="40" ht="20" customHeight="1">
      <x:c r="A40" s="117" t="str">
        <x:v>İri agrega</x:v>
      </x:c>
      <x:c r="B40" s="126" t="n">
        <x:f>IFERROR(VALUE(LEFT(TRIM(INDEX('Sayfa1'!$H$2:$H$122,$A$5-1)),FIND(" ",TRIM(INDEX('Sayfa1'!$H$2:$H$122,$A$5-1))&amp;" ")-1)),0)</x:f>
        <x:v>681</x:v>
      </x:c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</x:row>
    <x:row r="41" ht="20" customHeight="1">
      <x:c r="A41" s="117" t="str">
        <x:v>RCA</x:v>
      </x:c>
      <x:c r="B41" s="126" t="n">
        <x:f>IFERROR(VALUE(LEFT(TRIM(INDEX('Sayfa1'!$I$2:$I$122,$A$5-1)),FIND(" ",TRIM(INDEX('Sayfa1'!$I$2:$I$122,$A$5-1))&amp;" ")-1)),0)</x:f>
        <x:v>0</x:v>
      </x:c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</x:row>
    <x:row r="42" ht="20" customHeight="1">
      <x:c r="A42" s="117" t="str">
        <x:v>Su</x:v>
      </x:c>
      <x:c r="B42" s="126" t="n">
        <x:f>IFERROR(VALUE(LEFT(TRIM(INDEX('Sayfa1'!$L$2:$L$122,$A$5-1)),FIND(" ",TRIM(INDEX('Sayfa1'!$L$2:$L$122,$A$5-1))&amp;" ")-1)),0)</x:f>
        <x:v>175</x:v>
      </x:c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</x:row>
    <x:row r="43" ht="20" customHeight="1">
      <x:c r="A43" s="118" t="str">
        <x:v>Süperakış.</x:v>
      </x:c>
      <x:c r="B43" s="126" t="n">
        <x:f>IFERROR(VALUE(LEFT(TRIM(INDEX('Sayfa1'!$M$2:$M$122,$A$5-1)),FIND(" ",TRIM(INDEX('Sayfa1'!$M$2:$M$122,$A$5-1))&amp;" ")-1)),0)</x:f>
        <x:v>10</x:v>
      </x:c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</x:row>
    <x:row r="45" ht="22" customHeight="1">
      <x:c r="A45" s="105" t="str">
        <x:v>Sonuç</x:v>
      </x:c>
      <x:c r="B45" s="106" t="str">
        <x:v>Sonuç</x:v>
      </x:c>
      <x:c r="C45" s="106" t="str">
        <x:v>Sonuç</x:v>
      </x:c>
      <x:c r="D45" s="106" t="str">
        <x:v>Sonuç</x:v>
      </x:c>
      <x:c r="E45" s="106" t="str">
        <x:v>Sonuç</x:v>
      </x:c>
      <x:c r="F45" s="106" t="str">
        <x:v>Sonuç</x:v>
      </x:c>
      <x:c r="G45" s="106" t="str">
        <x:v>Sonuç</x:v>
      </x:c>
      <x:c r="H45" s="107" t="str">
        <x:v>Sonuç</x:v>
      </x:c>
      <x:c r="I45" s="16"/>
      <x:c r="J45" s="16"/>
      <x:c r="K45" s="16"/>
      <x:c r="L45" s="16"/>
      <x:c r="M45" s="16"/>
      <x:c r="N45" s="16"/>
      <x:c r="O45" s="16"/>
      <x:c r="P45" s="16"/>
      <x:c r="Q45" s="16"/>
    </x:row>
    <x:row r="46" ht="28" customHeight="1">
      <x:c r="A46" s="162" t="str">
        <x:f>IF(COUNT($D$12:$D$21)=0,"Deney sonuçları henüz girilmedi. Mevcut seçim literatür dayanımına göre yapılmıştır; sarı hücrelere ölçümlerinizi yazınca sonuçlar otomatik yenilenir.","Deney sonuçları işlendi. En yüksek deney dayanımı ve deney-literatür farkı üstteki kartlarda, çiftli karşılaştırma sonucu ise tabloda güncellenmiştir.")</x:f>
        <x:v>Deney sonuçları henüz girilmedi. Mevcut seçim literatür dayanımına göre yapılmıştır; sarı hücrelere ölçümlerinizi yazınca sonuçlar otomatik yenilenir.</x:v>
      </x:c>
      <x:c r="B46" s="163"/>
      <x:c r="C46" s="163"/>
      <x:c r="D46" s="163"/>
      <x:c r="E46" s="163"/>
      <x:c r="F46" s="163"/>
      <x:c r="G46" s="163"/>
      <x:c r="H46" s="164"/>
      <x:c r="I46" s="16"/>
      <x:c r="J46" s="16"/>
      <x:c r="K46" s="16"/>
      <x:c r="L46" s="16"/>
      <x:c r="M46" s="16"/>
      <x:c r="N46" s="16"/>
      <x:c r="O46" s="16"/>
      <x:c r="P46" s="16"/>
      <x:c r="Q46" s="16"/>
    </x:row>
    <x:row r="47" ht="28" customHeight="1">
      <x:c r="A47" s="165"/>
      <x:c r="B47" s="166"/>
      <x:c r="C47" s="166"/>
      <x:c r="D47" s="166"/>
      <x:c r="E47" s="166"/>
      <x:c r="F47" s="166"/>
      <x:c r="G47" s="166"/>
      <x:c r="H47" s="167"/>
      <x:c r="I47" s="16"/>
      <x:c r="J47" s="16"/>
      <x:c r="K47" s="16"/>
      <x:c r="L47" s="16"/>
      <x:c r="M47" s="16"/>
      <x:c r="N47" s="16"/>
      <x:c r="O47" s="16"/>
      <x:c r="P47" s="16"/>
      <x:c r="Q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</x:row>
  </x:sheetData>
  <x:mergeCells>
    <x:mergeCell ref="A1:Q1"/>
    <x:mergeCell ref="A2:Q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H8"/>
    <x:mergeCell ref="A10:H10"/>
    <x:mergeCell ref="A23:L23"/>
    <x:mergeCell ref="A32:B32"/>
    <x:mergeCell ref="A45:H45"/>
    <x:mergeCell ref="A46:H47"/>
  </x:mergeCells>
  <x:conditionalFormatting sqref="E12:E21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ab0a3bf3f694db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16" hidden="0" customWidth="1"/>
    <x:col min="5" max="5" width="15" hidden="0" customWidth="1"/>
    <x:col min="6" max="6" width="17" hidden="0" customWidth="1"/>
    <x:col min="7" max="7" width="16" hidden="0" customWidth="1"/>
    <x:col min="8" max="8" width="17" hidden="0" customWidth="1"/>
    <x:col min="9" max="9" width="17" hidden="0" customWidth="1"/>
    <x:col min="10" max="10" width="13" hidden="0" customWidth="1"/>
    <x:col min="11" max="11" width="13" hidden="0" customWidth="1"/>
    <x:col min="12" max="12" width="22" hidden="0" customWidth="1"/>
    <x:col min="13" max="13" width="18" hidden="0" customWidth="1"/>
    <x:col min="14" max="14" width="30" hidden="0" customWidth="1"/>
    <x:col min="15" max="15" width="58" hidden="0" customWidth="1"/>
  </x:cols>
  <x:sheetData>
    <x:row r="1" ht="30" customHeight="1">
      <x:c r="A1" s="179" t="str">
        <x:v>Sabit Literatür Referansları</x:v>
      </x:c>
      <x:c r="B1" s="180" t="str">
        <x:v>Sabit Literatür Referansları</x:v>
      </x:c>
      <x:c r="C1" s="180" t="str">
        <x:v>Sabit Literatür Referansları</x:v>
      </x:c>
      <x:c r="D1" s="180" t="str">
        <x:v>Sabit Literatür Referansları</x:v>
      </x:c>
      <x:c r="E1" s="180" t="str">
        <x:v>Sabit Literatür Referansları</x:v>
      </x:c>
      <x:c r="F1" s="180" t="str">
        <x:v>Sabit Literatür Referansları</x:v>
      </x:c>
      <x:c r="G1" s="180" t="str">
        <x:v>Sabit Literatür Referansları</x:v>
      </x:c>
      <x:c r="H1" s="180" t="str">
        <x:v>Sabit Literatür Referansları</x:v>
      </x:c>
      <x:c r="I1" s="180" t="str">
        <x:v>Sabit Literatür Referansları</x:v>
      </x:c>
      <x:c r="J1" s="180" t="str">
        <x:v>Sabit Literatür Referansları</x:v>
      </x:c>
      <x:c r="K1" s="180" t="str">
        <x:v>Sabit Literatür Referansları</x:v>
      </x:c>
      <x:c r="L1" s="180" t="str">
        <x:v>Sabit Literatür Referansları</x:v>
      </x:c>
      <x:c r="M1" s="180" t="str">
        <x:v>Sabit Literatür Referansları</x:v>
      </x:c>
      <x:c r="N1" s="180" t="str">
        <x:v>Sabit Literatür Referansları</x:v>
      </x:c>
      <x:c r="O1" s="181" t="str">
        <x:v>Sabit Literatür Referansları</x:v>
      </x:c>
    </x:row>
    <x:row r="2" ht="32" customHeight="1">
      <x:c r="A2" s="193" t="str">
        <x:v>Bu sayfa bağımsız bir referans anlık görüntüsüdür. Reçeteler sayfasındaki girişleri değiştirseniz bile bu değerler değişmez.</x:v>
      </x:c>
      <x:c r="B2" s="194" t="str">
        <x:v>Bu sayfa bağımsız bir referans anlık görüntüsüdür. Reçeteler sayfasındaki girişleri değiştirseniz bile bu değerler değişmez.</x:v>
      </x:c>
      <x:c r="C2" s="194" t="str">
        <x:v>Bu sayfa bağımsız bir referans anlık görüntüsüdür. Reçeteler sayfasındaki girişleri değiştirseniz bile bu değerler değişmez.</x:v>
      </x:c>
      <x:c r="D2" s="194" t="str">
        <x:v>Bu sayfa bağımsız bir referans anlık görüntüsüdür. Reçeteler sayfasındaki girişleri değiştirseniz bile bu değerler değişmez.</x:v>
      </x:c>
      <x:c r="E2" s="194" t="str">
        <x:v>Bu sayfa bağımsız bir referans anlık görüntüsüdür. Reçeteler sayfasındaki girişleri değiştirseniz bile bu değerler değişmez.</x:v>
      </x:c>
      <x:c r="F2" s="194" t="str">
        <x:v>Bu sayfa bağımsız bir referans anlık görüntüsüdür. Reçeteler sayfasındaki girişleri değiştirseniz bile bu değerler değişmez.</x:v>
      </x:c>
      <x:c r="G2" s="194" t="str">
        <x:v>Bu sayfa bağımsız bir referans anlık görüntüsüdür. Reçeteler sayfasındaki girişleri değiştirseniz bile bu değerler değişmez.</x:v>
      </x:c>
      <x:c r="H2" s="194" t="str">
        <x:v>Bu sayfa bağımsız bir referans anlık görüntüsüdür. Reçeteler sayfasındaki girişleri değiştirseniz bile bu değerler değişmez.</x:v>
      </x:c>
      <x:c r="I2" s="194" t="str">
        <x:v>Bu sayfa bağımsız bir referans anlık görüntüsüdür. Reçeteler sayfasındaki girişleri değiştirseniz bile bu değerler değişmez.</x:v>
      </x:c>
      <x:c r="J2" s="194" t="str">
        <x:v>Bu sayfa bağımsız bir referans anlık görüntüsüdür. Reçeteler sayfasındaki girişleri değiştirseniz bile bu değerler değişmez.</x:v>
      </x:c>
      <x:c r="K2" s="194" t="str">
        <x:v>Bu sayfa bağımsız bir referans anlık görüntüsüdür. Reçeteler sayfasındaki girişleri değiştirseniz bile bu değerler değişmez.</x:v>
      </x:c>
      <x:c r="L2" s="194" t="str">
        <x:v>Bu sayfa bağımsız bir referans anlık görüntüsüdür. Reçeteler sayfasındaki girişleri değiştirseniz bile bu değerler değişmez.</x:v>
      </x:c>
      <x:c r="M2" s="194" t="str">
        <x:v>Bu sayfa bağımsız bir referans anlık görüntüsüdür. Reçeteler sayfasındaki girişleri değiştirseniz bile bu değerler değişmez.</x:v>
      </x:c>
      <x:c r="N2" s="194" t="str">
        <x:v>Bu sayfa bağımsız bir referans anlık görüntüsüdür. Reçeteler sayfasındaki girişleri değiştirseniz bile bu değerler değişmez.</x:v>
      </x:c>
      <x:c r="O2" s="195" t="str">
        <x:v>Bu sayfa bağımsız bir referans anlık görüntüsüdür. Reçeteler sayfasındaki girişleri değiştirseniz bile bu değerler değişmez.</x:v>
      </x:c>
    </x:row>
    <x:row r="4" ht="22" customHeight="1">
      <x:c r="A4" s="204" t="str">
        <x:v>Ramyar vd. (2022) referans grubu</x:v>
      </x:c>
      <x:c r="B4" s="205" t="str">
        <x:v>Ramyar vd. (2022) referans grubu</x:v>
      </x:c>
      <x:c r="C4" s="205" t="str">
        <x:v>Ramyar vd. (2022) referans grubu</x:v>
      </x:c>
      <x:c r="D4" s="205" t="str">
        <x:v>Ramyar vd. (2022) referans grubu</x:v>
      </x:c>
      <x:c r="E4" s="205" t="str">
        <x:v>Ramyar vd. (2022) referans grubu</x:v>
      </x:c>
      <x:c r="F4" s="205" t="str">
        <x:v>Ramyar vd. (2022) referans grubu</x:v>
      </x:c>
      <x:c r="G4" s="205" t="str">
        <x:v>Ramyar vd. (2022) referans grubu</x:v>
      </x:c>
      <x:c r="H4" s="205" t="str">
        <x:v>Ramyar vd. (2022) referans grubu</x:v>
      </x:c>
      <x:c r="I4" s="205" t="str">
        <x:v>Ramyar vd. (2022) referans grubu</x:v>
      </x:c>
      <x:c r="J4" s="205" t="str">
        <x:v>Ramyar vd. (2022) referans grubu</x:v>
      </x:c>
      <x:c r="K4" s="205" t="str">
        <x:v>Ramyar vd. (2022) referans grubu</x:v>
      </x:c>
      <x:c r="L4" s="205" t="str">
        <x:v>Ramyar vd. (2022) referans grubu</x:v>
      </x:c>
      <x:c r="M4" s="205" t="str">
        <x:v>Ramyar vd. (2022) referans grubu</x:v>
      </x:c>
      <x:c r="N4" s="205" t="str">
        <x:v>Ramyar vd. (2022) referans grubu</x:v>
      </x:c>
      <x:c r="O4" s="206" t="str">
        <x:v>Ramyar vd. (2022) referans grubu</x:v>
      </x:c>
    </x:row>
    <x:row r="5" ht="48" customHeight="1">
      <x:c r="A5" s="218" t="str">
        <x:v>Referans ID</x:v>
      </x:c>
      <x:c r="B5" s="219" t="str">
        <x:v>Kaynak satırı</x:v>
      </x:c>
      <x:c r="C5" s="219" t="str">
        <x:v>Çimento (kg/m³)</x:v>
      </x:c>
      <x:c r="D5" s="219" t="str">
        <x:v>Uçucu kül (kg/m³)</x:v>
      </x:c>
      <x:c r="E5" s="219" t="str">
        <x:v>GGBFS (kg/m³)</x:v>
      </x:c>
      <x:c r="F5" s="219" t="str">
        <x:v>Silis dumanı (kg/m³)</x:v>
      </x:c>
      <x:c r="G5" s="219" t="str">
        <x:v>Metakaolin (kg/m³)</x:v>
      </x:c>
      <x:c r="H5" s="219" t="str">
        <x:v>İnce agrega (kg/m³)</x:v>
      </x:c>
      <x:c r="I5" s="219" t="str">
        <x:v>İri agrega (kg/m³)</x:v>
      </x:c>
      <x:c r="J5" s="219" t="str">
        <x:v>RCA (kg/m³)</x:v>
      </x:c>
      <x:c r="K5" s="219" t="str">
        <x:v>Su (kg/m³)</x:v>
      </x:c>
      <x:c r="L5" s="219" t="str">
        <x:v>Süperakışkanlaştırıcı (kg/m³)</x:v>
      </x:c>
      <x:c r="M5" s="219" t="str">
        <x:v>Basınç dayanımı (MPa)</x:v>
      </x:c>
      <x:c r="N5" s="219" t="str">
        <x:v>Literatür çalışma</x:v>
      </x:c>
      <x:c r="O5" s="220" t="str">
        <x:v>Link</x:v>
      </x:c>
    </x:row>
    <x:row r="6" ht="32" customHeight="1">
      <x:c r="A6" s="232" t="str">
        <x:v>Ref-01</x:v>
      </x:c>
      <x:c r="B6" s="232" t="n">
        <x:v>111</x:v>
      </x:c>
      <x:c r="C6" s="236" t="n">
        <x:v>200</x:v>
      </x:c>
      <x:c r="D6" s="236" t="n">
        <x:v>0</x:v>
      </x:c>
      <x:c r="E6" s="236" t="n">
        <x:v>200</x:v>
      </x:c>
      <x:c r="F6" s="236" t="n">
        <x:v>0</x:v>
      </x:c>
      <x:c r="G6" s="236" t="n">
        <x:v>0</x:v>
      </x:c>
      <x:c r="H6" s="236" t="n">
        <x:v>814</x:v>
      </x:c>
      <x:c r="I6" s="236" t="n">
        <x:v>986</x:v>
      </x:c>
      <x:c r="J6" s="236" t="n">
        <x:v>0</x:v>
      </x:c>
      <x:c r="K6" s="236" t="n">
        <x:v>168</x:v>
      </x:c>
      <x:c r="L6" s="236" t="n">
        <x:v>5</x:v>
      </x:c>
      <x:c r="M6" s="236" t="n">
        <x:v>58.8</x:v>
      </x:c>
      <x:c r="N6" s="238" t="str">
        <x:v>Ramyar vd. (2022)</x:v>
      </x:c>
      <x:c r="O6" s="240" t="str">
        <x:v>https://dergipark.org.tr/tr/pub/bjesr/article/1050236</x:v>
      </x:c>
    </x:row>
    <x:row r="7" ht="32" customHeight="1">
      <x:c r="A7" s="233" t="str">
        <x:v>Ref-02</x:v>
      </x:c>
      <x:c r="B7" s="233" t="n">
        <x:v>112</x:v>
      </x:c>
      <x:c r="C7" s="237" t="n">
        <x:v>190</x:v>
      </x:c>
      <x:c r="D7" s="237" t="n">
        <x:v>0</x:v>
      </x:c>
      <x:c r="E7" s="237" t="n">
        <x:v>190</x:v>
      </x:c>
      <x:c r="F7" s="237" t="n">
        <x:v>0</x:v>
      </x:c>
      <x:c r="G7" s="237" t="n">
        <x:v>0</x:v>
      </x:c>
      <x:c r="H7" s="237" t="n">
        <x:v>835</x:v>
      </x:c>
      <x:c r="I7" s="237" t="n">
        <x:v>970</x:v>
      </x:c>
      <x:c r="J7" s="237" t="n">
        <x:v>0</x:v>
      </x:c>
      <x:c r="K7" s="237" t="n">
        <x:v>165</x:v>
      </x:c>
      <x:c r="L7" s="237" t="n">
        <x:v>5.8</x:v>
      </x:c>
      <x:c r="M7" s="237" t="n">
        <x:v>53.4</x:v>
      </x:c>
      <x:c r="N7" s="239" t="str">
        <x:v>Ramyar vd. (2022)</x:v>
      </x:c>
      <x:c r="O7" s="241" t="str">
        <x:v>https://dergipark.org.tr/tr/pub/bjesr/article/1050236</x:v>
      </x:c>
    </x:row>
    <x:row r="8" ht="32" customHeight="1">
      <x:c r="A8" s="233" t="str">
        <x:v>Ref-03</x:v>
      </x:c>
      <x:c r="B8" s="233" t="n">
        <x:v>113</x:v>
      </x:c>
      <x:c r="C8" s="237" t="n">
        <x:v>180</x:v>
      </x:c>
      <x:c r="D8" s="237" t="n">
        <x:v>0</x:v>
      </x:c>
      <x:c r="E8" s="237" t="n">
        <x:v>180</x:v>
      </x:c>
      <x:c r="F8" s="237" t="n">
        <x:v>0</x:v>
      </x:c>
      <x:c r="G8" s="237" t="n">
        <x:v>0</x:v>
      </x:c>
      <x:c r="H8" s="237" t="n">
        <x:v>869</x:v>
      </x:c>
      <x:c r="I8" s="237" t="n">
        <x:v>987</x:v>
      </x:c>
      <x:c r="J8" s="237" t="n">
        <x:v>0</x:v>
      </x:c>
      <x:c r="K8" s="237" t="n">
        <x:v>160</x:v>
      </x:c>
      <x:c r="L8" s="237" t="n">
        <x:v>6.3</x:v>
      </x:c>
      <x:c r="M8" s="237" t="n">
        <x:v>44</x:v>
      </x:c>
      <x:c r="N8" s="239" t="str">
        <x:v>Ramyar vd. (2022)</x:v>
      </x:c>
      <x:c r="O8" s="241" t="str">
        <x:v>https://dergipark.org.tr/tr/pub/bjesr/article/1050236</x:v>
      </x:c>
    </x:row>
    <x:row r="9" ht="32" customHeight="1">
      <x:c r="A9" s="233" t="str">
        <x:v>Ref-04</x:v>
      </x:c>
      <x:c r="B9" s="233" t="n">
        <x:v>114</x:v>
      </x:c>
      <x:c r="C9" s="237" t="n">
        <x:v>160</x:v>
      </x:c>
      <x:c r="D9" s="237" t="n">
        <x:v>0</x:v>
      </x:c>
      <x:c r="E9" s="237" t="n">
        <x:v>160</x:v>
      </x:c>
      <x:c r="F9" s="237" t="n">
        <x:v>0</x:v>
      </x:c>
      <x:c r="G9" s="237" t="n">
        <x:v>0</x:v>
      </x:c>
      <x:c r="H9" s="237" t="n">
        <x:v>970</x:v>
      </x:c>
      <x:c r="I9" s="237" t="n">
        <x:v>921</x:v>
      </x:c>
      <x:c r="J9" s="237" t="n">
        <x:v>0</x:v>
      </x:c>
      <x:c r="K9" s="237" t="n">
        <x:v>155</x:v>
      </x:c>
      <x:c r="L9" s="237" t="n">
        <x:v>6.2</x:v>
      </x:c>
      <x:c r="M9" s="237" t="n">
        <x:v>42.1</x:v>
      </x:c>
      <x:c r="N9" s="239" t="str">
        <x:v>Ramyar vd. (2022)</x:v>
      </x:c>
      <x:c r="O9" s="241" t="str">
        <x:v>https://dergipark.org.tr/tr/pub/bjesr/article/1050236</x:v>
      </x:c>
    </x:row>
    <x:row r="10" ht="32" customHeight="1">
      <x:c r="A10" s="233" t="str">
        <x:v>Ref-05</x:v>
      </x:c>
      <x:c r="B10" s="233" t="n">
        <x:v>115</x:v>
      </x:c>
      <x:c r="C10" s="237" t="n">
        <x:v>160</x:v>
      </x:c>
      <x:c r="D10" s="237" t="n">
        <x:v>0</x:v>
      </x:c>
      <x:c r="E10" s="237" t="n">
        <x:v>140</x:v>
      </x:c>
      <x:c r="F10" s="237" t="n">
        <x:v>0</x:v>
      </x:c>
      <x:c r="G10" s="237" t="n">
        <x:v>0</x:v>
      </x:c>
      <x:c r="H10" s="237" t="n">
        <x:v>1020</x:v>
      </x:c>
      <x:c r="I10" s="237" t="n">
        <x:v>910</x:v>
      </x:c>
      <x:c r="J10" s="237" t="n">
        <x:v>0</x:v>
      </x:c>
      <x:c r="K10" s="237" t="n">
        <x:v>155</x:v>
      </x:c>
      <x:c r="L10" s="237" t="n">
        <x:v>6</x:v>
      </x:c>
      <x:c r="M10" s="237" t="n">
        <x:v>32.6</x:v>
      </x:c>
      <x:c r="N10" s="239" t="str">
        <x:v>Ramyar vd. (2022)</x:v>
      </x:c>
      <x:c r="O10" s="241" t="str">
        <x:v>https://dergipark.org.tr/tr/pub/bjesr/article/1050236</x:v>
      </x:c>
    </x:row>
    <x:row r="11" ht="32" customHeight="1">
      <x:c r="A11" s="233" t="str">
        <x:v>Ref-06</x:v>
      </x:c>
      <x:c r="B11" s="233" t="n">
        <x:v>116</x:v>
      </x:c>
      <x:c r="C11" s="237" t="n">
        <x:v>360</x:v>
      </x:c>
      <x:c r="D11" s="237" t="n">
        <x:v>0</x:v>
      </x:c>
      <x:c r="E11" s="237" t="n">
        <x:v>0</x:v>
      </x:c>
      <x:c r="F11" s="237" t="n">
        <x:v>0</x:v>
      </x:c>
      <x:c r="G11" s="237" t="n">
        <x:v>0</x:v>
      </x:c>
      <x:c r="H11" s="237" t="n">
        <x:v>868</x:v>
      </x:c>
      <x:c r="I11" s="237" t="n">
        <x:v>982</x:v>
      </x:c>
      <x:c r="J11" s="237" t="n">
        <x:v>0</x:v>
      </x:c>
      <x:c r="K11" s="237" t="n">
        <x:v>163</x:v>
      </x:c>
      <x:c r="L11" s="237" t="n">
        <x:v>5.8</x:v>
      </x:c>
      <x:c r="M11" s="237" t="n">
        <x:v>46.9</x:v>
      </x:c>
      <x:c r="N11" s="239" t="str">
        <x:v>Ramyar vd. (2022)</x:v>
      </x:c>
      <x:c r="O11" s="241" t="str">
        <x:v>https://dergipark.org.tr/tr/pub/bjesr/article/1050236</x:v>
      </x:c>
    </x:row>
  </x:sheetData>
  <x:mergeCells>
    <x:mergeCell ref="A1:O1"/>
    <x:mergeCell ref="A2:O2"/>
    <x:mergeCell ref="A4:O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8" hidden="0" customWidth="1"/>
    <x:col min="13" max="13" width="18" hidden="0" customWidth="1"/>
    <x:col min="14" max="14" width="13" hidden="0" customWidth="1"/>
    <x:col min="15" max="15" width="12" hidden="0" customWidth="1"/>
    <x:col min="16" max="16" width="15" hidden="0" customWidth="1"/>
    <x:col min="17" max="17" width="16" hidden="0" customWidth="1"/>
    <x:col min="18" max="18" width="42" hidden="0" customWidth="1"/>
  </x:cols>
  <x:sheetData>
    <x:row r="1" ht="30" customHeight="1">
      <x:c r="A1" s="179" t="str">
        <x:v>Ön Deneme Reçeteleri</x:v>
      </x:c>
      <x:c r="B1" s="180" t="str">
        <x:v>Ön Deneme Reçeteleri</x:v>
      </x:c>
      <x:c r="C1" s="180" t="str">
        <x:v>Ön Deneme Reçeteleri</x:v>
      </x:c>
      <x:c r="D1" s="180" t="str">
        <x:v>Ön Deneme Reçeteleri</x:v>
      </x:c>
      <x:c r="E1" s="180" t="str">
        <x:v>Ön Deneme Reçeteleri</x:v>
      </x:c>
      <x:c r="F1" s="180" t="str">
        <x:v>Ön Deneme Reçeteleri</x:v>
      </x:c>
      <x:c r="G1" s="180" t="str">
        <x:v>Ön Deneme Reçeteleri</x:v>
      </x:c>
      <x:c r="H1" s="180" t="str">
        <x:v>Ön Deneme Reçeteleri</x:v>
      </x:c>
      <x:c r="I1" s="180" t="str">
        <x:v>Ön Deneme Reçeteleri</x:v>
      </x:c>
      <x:c r="J1" s="180" t="str">
        <x:v>Ön Deneme Reçeteleri</x:v>
      </x:c>
      <x:c r="K1" s="180" t="str">
        <x:v>Ön Deneme Reçeteleri</x:v>
      </x:c>
      <x:c r="L1" s="180" t="str">
        <x:v>Ön Deneme Reçeteleri</x:v>
      </x:c>
      <x:c r="M1" s="180" t="str">
        <x:v>Ön Deneme Reçeteleri</x:v>
      </x:c>
      <x:c r="N1" s="180" t="str">
        <x:v>Ön Deneme Reçeteleri</x:v>
      </x:c>
      <x:c r="O1" s="180" t="str">
        <x:v>Ön Deneme Reçeteleri</x:v>
      </x:c>
      <x:c r="P1" s="180" t="str">
        <x:v>Ön Deneme Reçeteleri</x:v>
      </x:c>
      <x:c r="Q1" s="180" t="str">
        <x:v>Ön Deneme Reçeteleri</x:v>
      </x:c>
      <x:c r="R1" s="181" t="str">
        <x:v>Ön Deneme Reçeteleri</x:v>
      </x:c>
    </x:row>
    <x:row r="2" ht="34" customHeight="1">
      <x:c r="A2" s="193" t="str">
        <x:v>Sarı hücreler düzenlenebilir girişlerdir. Bağlayıcı toplamı, su/bağlayıcı ve RCA oranı formülle hesaplanır; kıyas referansı sabit metindir ve Referanslar sayfasına bağlı değildir.</x:v>
      </x:c>
      <x:c r="B2" s="194" t="str">
        <x:v>Sarı hücreler düzenlenebilir girişlerdir. Bağlayıcı toplamı, su/bağlayıcı ve RCA oranı formülle hesaplanır; kıyas referansı sabit metindir ve Referanslar sayfasına bağlı değildir.</x:v>
      </x:c>
      <x:c r="C2" s="194" t="str">
        <x:v>Sarı hücreler düzenlenebilir girişlerdir. Bağlayıcı toplamı, su/bağlayıcı ve RCA oranı formülle hesaplanır; kıyas referansı sabit metindir ve Referanslar sayfasına bağlı değildir.</x:v>
      </x:c>
      <x:c r="D2" s="194" t="str">
        <x:v>Sarı hücreler düzenlenebilir girişlerdir. Bağlayıcı toplamı, su/bağlayıcı ve RCA oranı formülle hesaplanır; kıyas referansı sabit metindir ve Referanslar sayfasına bağlı değildir.</x:v>
      </x:c>
      <x:c r="E2" s="194" t="str">
        <x:v>Sarı hücreler düzenlenebilir girişlerdir. Bağlayıcı toplamı, su/bağlayıcı ve RCA oranı formülle hesaplanır; kıyas referansı sabit metindir ve Referanslar sayfasına bağlı değildir.</x:v>
      </x:c>
      <x:c r="F2" s="194" t="str">
        <x:v>Sarı hücreler düzenlenebilir girişlerdir. Bağlayıcı toplamı, su/bağlayıcı ve RCA oranı formülle hesaplanır; kıyas referansı sabit metindir ve Referanslar sayfasına bağlı değildir.</x:v>
      </x:c>
      <x:c r="G2" s="194" t="str">
        <x:v>Sarı hücreler düzenlenebilir girişlerdir. Bağlayıcı toplamı, su/bağlayıcı ve RCA oranı formülle hesaplanır; kıyas referansı sabit metindir ve Referanslar sayfasına bağlı değildir.</x:v>
      </x:c>
      <x:c r="H2" s="194" t="str">
        <x:v>Sarı hücreler düzenlenebilir girişlerdir. Bağlayıcı toplamı, su/bağlayıcı ve RCA oranı formülle hesaplanır; kıyas referansı sabit metindir ve Referanslar sayfasına bağlı değildir.</x:v>
      </x:c>
      <x:c r="I2" s="194" t="str">
        <x:v>Sarı hücreler düzenlenebilir girişlerdir. Bağlayıcı toplamı, su/bağlayıcı ve RCA oranı formülle hesaplanır; kıyas referansı sabit metindir ve Referanslar sayfasına bağlı değildir.</x:v>
      </x:c>
      <x:c r="J2" s="194" t="str">
        <x:v>Sarı hücreler düzenlenebilir girişlerdir. Bağlayıcı toplamı, su/bağlayıcı ve RCA oranı formülle hesaplanır; kıyas referansı sabit metindir ve Referanslar sayfasına bağlı değildir.</x:v>
      </x:c>
      <x:c r="K2" s="194" t="str">
        <x:v>Sarı hücreler düzenlenebilir girişlerdir. Bağlayıcı toplamı, su/bağlayıcı ve RCA oranı formülle hesaplanır; kıyas referansı sabit metindir ve Referanslar sayfasına bağlı değildir.</x:v>
      </x:c>
      <x:c r="L2" s="194" t="str">
        <x:v>Sarı hücreler düzenlenebilir girişlerdir. Bağlayıcı toplamı, su/bağlayıcı ve RCA oranı formülle hesaplanır; kıyas referansı sabit metindir ve Referanslar sayfasına bağlı değildir.</x:v>
      </x:c>
      <x:c r="M2" s="194" t="str">
        <x:v>Sarı hücreler düzenlenebilir girişlerdir. Bağlayıcı toplamı, su/bağlayıcı ve RCA oranı formülle hesaplanır; kıyas referansı sabit metindir ve Referanslar sayfasına bağlı değildir.</x:v>
      </x:c>
      <x:c r="N2" s="194" t="str">
        <x:v>Sarı hücreler düzenlenebilir girişlerdir. Bağlayıcı toplamı, su/bağlayıcı ve RCA oranı formülle hesaplanır; kıyas referansı sabit metindir ve Referanslar sayfasına bağlı değildir.</x:v>
      </x:c>
      <x:c r="O2" s="194" t="str">
        <x:v>Sarı hücreler düzenlenebilir girişlerdir. Bağlayıcı toplamı, su/bağlayıcı ve RCA oranı formülle hesaplanır; kıyas referansı sabit metindir ve Referanslar sayfasına bağlı değildir.</x:v>
      </x:c>
      <x:c r="P2" s="194" t="str">
        <x:v>Sarı hücreler düzenlenebilir girişlerdir. Bağlayıcı toplamı, su/bağlayıcı ve RCA oranı formülle hesaplanır; kıyas referansı sabit metindir ve Referanslar sayfasına bağlı değildir.</x:v>
      </x:c>
      <x:c r="Q2" s="194" t="str">
        <x:v>Sarı hücreler düzenlenebilir girişlerdir. Bağlayıcı toplamı, su/bağlayıcı ve RCA oranı formülle hesaplanır; kıyas referansı sabit metindir ve Referanslar sayfasına bağlı değildir.</x:v>
      </x:c>
      <x:c r="R2" s="195" t="str">
        <x:v>Sarı hücreler düzenlenebilir girişlerdir. Bağlayıcı toplamı, su/bağlayıcı ve RCA oranı formülle hesaplanır; kıyas referansı sabit metindir ve Referanslar sayfasına bağlı değildir.</x:v>
      </x:c>
    </x:row>
    <x:row r="4" ht="22" customHeight="1">
      <x:c r="A4" s="204" t="str">
        <x:v>Düzenlenebilir karışım serisi</x:v>
      </x:c>
      <x:c r="B4" s="205" t="str">
        <x:v>Düzenlenebilir karışım serisi</x:v>
      </x:c>
      <x:c r="C4" s="205" t="str">
        <x:v>Düzenlenebilir karışım serisi</x:v>
      </x:c>
      <x:c r="D4" s="205" t="str">
        <x:v>Düzenlenebilir karışım serisi</x:v>
      </x:c>
      <x:c r="E4" s="205" t="str">
        <x:v>Düzenlenebilir karışım serisi</x:v>
      </x:c>
      <x:c r="F4" s="205" t="str">
        <x:v>Düzenlenebilir karışım serisi</x:v>
      </x:c>
      <x:c r="G4" s="205" t="str">
        <x:v>Düzenlenebilir karışım serisi</x:v>
      </x:c>
      <x:c r="H4" s="205" t="str">
        <x:v>Düzenlenebilir karışım serisi</x:v>
      </x:c>
      <x:c r="I4" s="205" t="str">
        <x:v>Düzenlenebilir karışım serisi</x:v>
      </x:c>
      <x:c r="J4" s="205" t="str">
        <x:v>Düzenlenebilir karışım serisi</x:v>
      </x:c>
      <x:c r="K4" s="205" t="str">
        <x:v>Düzenlenebilir karışım serisi</x:v>
      </x:c>
      <x:c r="L4" s="205" t="str">
        <x:v>Düzenlenebilir karışım serisi</x:v>
      </x:c>
      <x:c r="M4" s="205" t="str">
        <x:v>Düzenlenebilir karışım serisi</x:v>
      </x:c>
      <x:c r="N4" s="205" t="str">
        <x:v>Düzenlenebilir karışım serisi</x:v>
      </x:c>
      <x:c r="O4" s="205" t="str">
        <x:v>Düzenlenebilir karışım serisi</x:v>
      </x:c>
      <x:c r="P4" s="205" t="str">
        <x:v>Düzenlenebilir karışım serisi</x:v>
      </x:c>
      <x:c r="Q4" s="205" t="str">
        <x:v>Düzenlenebilir karışım serisi</x:v>
      </x:c>
      <x:c r="R4" s="206" t="str">
        <x:v>Düzenlenebilir karışım serisi</x:v>
      </x:c>
    </x:row>
    <x:row r="5" ht="48" customHeight="1">
      <x:c r="A5" s="218" t="str">
        <x:v>Reçete No</x:v>
      </x:c>
      <x:c r="B5" s="219" t="str">
        <x:v>Amaç</x:v>
      </x:c>
      <x:c r="C5" s="219" t="str">
        <x:v>Çimento (kg/m³)</x:v>
      </x:c>
      <x:c r="D5" s="219" t="str">
        <x:v>Uçucu kül (kg/m³)</x:v>
      </x:c>
      <x:c r="E5" s="219" t="str">
        <x:v>GGBFS (kg/m³)</x:v>
      </x:c>
      <x:c r="F5" s="219" t="str">
        <x:v>Silis dumanı (kg/m³)</x:v>
      </x:c>
      <x:c r="G5" s="219" t="str">
        <x:v>Metakaolin (kg/m³)</x:v>
      </x:c>
      <x:c r="H5" s="219" t="str">
        <x:v>İnce agrega (kg/m³)</x:v>
      </x:c>
      <x:c r="I5" s="219" t="str">
        <x:v>İri agrega (kg/m³)</x:v>
      </x:c>
      <x:c r="J5" s="219" t="str">
        <x:v>RCA (kg/m³)</x:v>
      </x:c>
      <x:c r="K5" s="219" t="str">
        <x:v>Su (kg/m³)</x:v>
      </x:c>
      <x:c r="L5" s="219" t="str">
        <x:v>Süperakışkanlaştırıcı (kg/m³)</x:v>
      </x:c>
      <x:c r="M5" s="219" t="str">
        <x:v>Bağlayıcı toplamı (kg/m³)</x:v>
      </x:c>
      <x:c r="N5" s="219" t="str">
        <x:v>Su/bağlayıcı</x:v>
      </x:c>
      <x:c r="O5" s="219" t="str">
        <x:v>RCA oranı</x:v>
      </x:c>
      <x:c r="P5" s="219" t="str">
        <x:v>Sabit kıyas ref.</x:v>
      </x:c>
      <x:c r="Q5" s="219" t="str">
        <x:v>Ref. dayanımı (MPa)</x:v>
      </x:c>
      <x:c r="R5" s="220" t="str">
        <x:v>Not</x:v>
      </x:c>
    </x:row>
    <x:row r="6" ht="30" customHeight="1">
      <x:c r="A6" s="238" t="str">
        <x:v>R-01</x:v>
      </x:c>
      <x:c r="B6" s="238" t="str">
        <x:v>Kontrol karışımı</x:v>
      </x:c>
      <x:c r="C6" s="247" t="n">
        <x:v>360</x:v>
      </x:c>
      <x:c r="D6" s="247" t="n">
        <x:v>0</x:v>
      </x:c>
      <x:c r="E6" s="247" t="n">
        <x:v>0</x:v>
      </x:c>
      <x:c r="F6" s="247" t="n">
        <x:v>0</x:v>
      </x:c>
      <x:c r="G6" s="247" t="n">
        <x:v>0</x:v>
      </x:c>
      <x:c r="H6" s="247" t="n">
        <x:v>868</x:v>
      </x:c>
      <x:c r="I6" s="247" t="n">
        <x:v>982</x:v>
      </x:c>
      <x:c r="J6" s="247" t="n">
        <x:v>0</x:v>
      </x:c>
      <x:c r="K6" s="247" t="n">
        <x:v>163</x:v>
      </x:c>
      <x:c r="L6" s="247" t="n">
        <x:v>5.8</x:v>
      </x:c>
      <x:c r="M6" s="254" t="n">
        <x:f>SUM(C6:G6)</x:f>
        <x:v>360</x:v>
      </x:c>
      <x:c r="N6" s="256" t="n">
        <x:f>IFERROR(K6/M6,"")</x:f>
        <x:v>0.4527777777777778</x:v>
      </x:c>
      <x:c r="O6" s="256" t="n">
        <x:f>IFERROR(J6/(I6+J6),"")</x:f>
        <x:v>0</x:v>
      </x:c>
      <x:c r="P6" s="261" t="str">
        <x:v>Ref-06</x:v>
      </x:c>
      <x:c r="Q6" s="263" t="n">
        <x:v>46.9</x:v>
      </x:c>
      <x:c r="R6" s="238" t="str">
        <x:v>Kontrol; çimento seviyesi korunur.</x:v>
      </x:c>
    </x:row>
    <x:row r="7" ht="30" customHeight="1">
      <x:c r="A7" s="239" t="str">
        <x:v>R-02</x:v>
      </x:c>
      <x:c r="B7" s="239" t="str">
        <x:v>%11 GGBFS</x:v>
      </x:c>
      <x:c r="C7" s="248" t="n">
        <x:v>320</x:v>
      </x:c>
      <x:c r="D7" s="248" t="n">
        <x:v>0</x:v>
      </x:c>
      <x:c r="E7" s="248" t="n">
        <x:v>40</x:v>
      </x:c>
      <x:c r="F7" s="248" t="n">
        <x:v>0</x:v>
      </x:c>
      <x:c r="G7" s="248" t="n">
        <x:v>0</x:v>
      </x:c>
      <x:c r="H7" s="248" t="n">
        <x:v>868</x:v>
      </x:c>
      <x:c r="I7" s="248" t="n">
        <x:v>982</x:v>
      </x:c>
      <x:c r="J7" s="248" t="n">
        <x:v>0</x:v>
      </x:c>
      <x:c r="K7" s="248" t="n">
        <x:v>163</x:v>
      </x:c>
      <x:c r="L7" s="248" t="n">
        <x:v>5.8</x:v>
      </x:c>
      <x:c r="M7" s="255" t="n">
        <x:f>SUM(C7:G7)</x:f>
        <x:v>360</x:v>
      </x:c>
      <x:c r="N7" s="257" t="n">
        <x:f>IFERROR(K7/M7,"")</x:f>
        <x:v>0.4527777777777778</x:v>
      </x:c>
      <x:c r="O7" s="257" t="n">
        <x:f>IFERROR(J7/(I7+J7),"")</x:f>
        <x:v>0</x:v>
      </x:c>
      <x:c r="P7" s="262" t="str">
        <x:v>Ref-06</x:v>
      </x:c>
      <x:c r="Q7" s="264" t="n">
        <x:v>46.9</x:v>
      </x:c>
      <x:c r="R7" s="239" t="str">
        <x:v>Bağlayıcı toplamı 360 kg/m³ tutuldu.</x:v>
      </x:c>
    </x:row>
    <x:row r="8" ht="30" customHeight="1">
      <x:c r="A8" s="239" t="str">
        <x:v>R-03</x:v>
      </x:c>
      <x:c r="B8" s="239" t="str">
        <x:v>%22 GGBFS</x:v>
      </x:c>
      <x:c r="C8" s="248" t="n">
        <x:v>280</x:v>
      </x:c>
      <x:c r="D8" s="248" t="n">
        <x:v>0</x:v>
      </x:c>
      <x:c r="E8" s="248" t="n">
        <x:v>80</x:v>
      </x:c>
      <x:c r="F8" s="248" t="n">
        <x:v>0</x:v>
      </x:c>
      <x:c r="G8" s="248" t="n">
        <x:v>0</x:v>
      </x:c>
      <x:c r="H8" s="248" t="n">
        <x:v>868</x:v>
      </x:c>
      <x:c r="I8" s="248" t="n">
        <x:v>982</x:v>
      </x:c>
      <x:c r="J8" s="248" t="n">
        <x:v>0</x:v>
      </x:c>
      <x:c r="K8" s="248" t="n">
        <x:v>163</x:v>
      </x:c>
      <x:c r="L8" s="248" t="n">
        <x:v>6</x:v>
      </x:c>
      <x:c r="M8" s="255" t="n">
        <x:f>SUM(C8:G8)</x:f>
        <x:v>360</x:v>
      </x:c>
      <x:c r="N8" s="257" t="n">
        <x:f>IFERROR(K8/M8,"")</x:f>
        <x:v>0.4527777777777778</x:v>
      </x:c>
      <x:c r="O8" s="257" t="n">
        <x:f>IFERROR(J8/(I8+J8),"")</x:f>
        <x:v>0</x:v>
      </x:c>
      <x:c r="P8" s="262" t="str">
        <x:v>Ref-06</x:v>
      </x:c>
      <x:c r="Q8" s="264" t="n">
        <x:v>46.9</x:v>
      </x:c>
      <x:c r="R8" s="239" t="str">
        <x:v>Bağlayıcı toplamı 360 kg/m³ tutuldu.</x:v>
      </x:c>
    </x:row>
    <x:row r="9" ht="30" customHeight="1">
      <x:c r="A9" s="239" t="str">
        <x:v>R-04</x:v>
      </x:c>
      <x:c r="B9" s="239" t="str">
        <x:v>%33 GGBFS</x:v>
      </x:c>
      <x:c r="C9" s="248" t="n">
        <x:v>240</x:v>
      </x:c>
      <x:c r="D9" s="248" t="n">
        <x:v>0</x:v>
      </x:c>
      <x:c r="E9" s="248" t="n">
        <x:v>120</x:v>
      </x:c>
      <x:c r="F9" s="248" t="n">
        <x:v>0</x:v>
      </x:c>
      <x:c r="G9" s="248" t="n">
        <x:v>0</x:v>
      </x:c>
      <x:c r="H9" s="248" t="n">
        <x:v>868</x:v>
      </x:c>
      <x:c r="I9" s="248" t="n">
        <x:v>982</x:v>
      </x:c>
      <x:c r="J9" s="248" t="n">
        <x:v>0</x:v>
      </x:c>
      <x:c r="K9" s="248" t="n">
        <x:v>163</x:v>
      </x:c>
      <x:c r="L9" s="248" t="n">
        <x:v>6.2</x:v>
      </x:c>
      <x:c r="M9" s="255" t="n">
        <x:f>SUM(C9:G9)</x:f>
        <x:v>360</x:v>
      </x:c>
      <x:c r="N9" s="257" t="n">
        <x:f>IFERROR(K9/M9,"")</x:f>
        <x:v>0.4527777777777778</x:v>
      </x:c>
      <x:c r="O9" s="257" t="n">
        <x:f>IFERROR(J9/(I9+J9),"")</x:f>
        <x:v>0</x:v>
      </x:c>
      <x:c r="P9" s="262" t="str">
        <x:v>Ref-06</x:v>
      </x:c>
      <x:c r="Q9" s="264" t="n">
        <x:v>46.9</x:v>
      </x:c>
      <x:c r="R9" s="239" t="str">
        <x:v>Bağlayıcı toplamı 360 kg/m³ tutuldu.</x:v>
      </x:c>
    </x:row>
    <x:row r="10" ht="30" customHeight="1">
      <x:c r="A10" s="239" t="str">
        <x:v>R-05</x:v>
      </x:c>
      <x:c r="B10" s="239" t="str">
        <x:v>%22 GGBFS + %20 RCA</x:v>
      </x:c>
      <x:c r="C10" s="248" t="n">
        <x:v>280</x:v>
      </x:c>
      <x:c r="D10" s="248" t="n">
        <x:v>0</x:v>
      </x:c>
      <x:c r="E10" s="248" t="n">
        <x:v>80</x:v>
      </x:c>
      <x:c r="F10" s="248" t="n">
        <x:v>0</x:v>
      </x:c>
      <x:c r="G10" s="248" t="n">
        <x:v>0</x:v>
      </x:c>
      <x:c r="H10" s="248" t="n">
        <x:v>868</x:v>
      </x:c>
      <x:c r="I10" s="248" t="n">
        <x:v>786</x:v>
      </x:c>
      <x:c r="J10" s="248" t="n">
        <x:v>196</x:v>
      </x:c>
      <x:c r="K10" s="248" t="n">
        <x:v>163</x:v>
      </x:c>
      <x:c r="L10" s="248" t="n">
        <x:v>6.2</x:v>
      </x:c>
      <x:c r="M10" s="255" t="n">
        <x:f>SUM(C10:G10)</x:f>
        <x:v>360</x:v>
      </x:c>
      <x:c r="N10" s="257" t="n">
        <x:f>IFERROR(K10/M10,"")</x:f>
        <x:v>0.4527777777777778</x:v>
      </x:c>
      <x:c r="O10" s="257" t="n">
        <x:f>IFERROR(J10/(I10+J10),"")</x:f>
        <x:v>0.19959266802443992</x:v>
      </x:c>
      <x:c r="P10" s="262" t="str">
        <x:v>Ref-06</x:v>
      </x:c>
      <x:c r="Q10" s="264" t="n">
        <x:v>46.9</x:v>
      </x:c>
      <x:c r="R10" s="239" t="str">
        <x:v>Toplam agrega 1850 kg/m³; RCA, iri agreganın %20'si yerine.</x:v>
      </x:c>
    </x:row>
    <x:row r="11" ht="30" customHeight="1">
      <x:c r="A11" s="239" t="str">
        <x:v>R-06</x:v>
      </x:c>
      <x:c r="B11" s="239" t="str">
        <x:v>%33 GGBFS + %30 RCA</x:v>
      </x:c>
      <x:c r="C11" s="248" t="n">
        <x:v>240</x:v>
      </x:c>
      <x:c r="D11" s="248" t="n">
        <x:v>0</x:v>
      </x:c>
      <x:c r="E11" s="248" t="n">
        <x:v>120</x:v>
      </x:c>
      <x:c r="F11" s="248" t="n">
        <x:v>0</x:v>
      </x:c>
      <x:c r="G11" s="248" t="n">
        <x:v>0</x:v>
      </x:c>
      <x:c r="H11" s="248" t="n">
        <x:v>868</x:v>
      </x:c>
      <x:c r="I11" s="248" t="n">
        <x:v>688</x:v>
      </x:c>
      <x:c r="J11" s="248" t="n">
        <x:v>294</x:v>
      </x:c>
      <x:c r="K11" s="248" t="n">
        <x:v>163</x:v>
      </x:c>
      <x:c r="L11" s="248" t="n">
        <x:v>6.5</x:v>
      </x:c>
      <x:c r="M11" s="255" t="n">
        <x:f>SUM(C11:G11)</x:f>
        <x:v>360</x:v>
      </x:c>
      <x:c r="N11" s="257" t="n">
        <x:f>IFERROR(K11/M11,"")</x:f>
        <x:v>0.4527777777777778</x:v>
      </x:c>
      <x:c r="O11" s="257" t="n">
        <x:f>IFERROR(J11/(I11+J11),"")</x:f>
        <x:v>0.29938900203665986</x:v>
      </x:c>
      <x:c r="P11" s="262" t="str">
        <x:v>Ref-06</x:v>
      </x:c>
      <x:c r="Q11" s="264" t="n">
        <x:v>46.9</x:v>
      </x:c>
      <x:c r="R11" s="239" t="str">
        <x:v>Toplam agrega 1850 kg/m³; RCA, iri agreganın %30'u yerine.</x:v>
      </x:c>
    </x:row>
    <x:row r="13" ht="22" customHeight="1">
      <x:c r="A13" s="204" t="str">
        <x:v>Kullanım notu</x:v>
      </x:c>
      <x:c r="B13" s="205" t="str">
        <x:v>Kullanım notu</x:v>
      </x:c>
      <x:c r="C13" s="205" t="str">
        <x:v>Kullanım notu</x:v>
      </x:c>
      <x:c r="D13" s="205" t="str">
        <x:v>Kullanım notu</x:v>
      </x:c>
      <x:c r="E13" s="205" t="str">
        <x:v>Kullanım notu</x:v>
      </x:c>
      <x:c r="F13" s="205" t="str">
        <x:v>Kullanım notu</x:v>
      </x:c>
      <x:c r="G13" s="205" t="str">
        <x:v>Kullanım notu</x:v>
      </x:c>
      <x:c r="H13" s="205" t="str">
        <x:v>Kullanım notu</x:v>
      </x:c>
      <x:c r="I13" s="205" t="str">
        <x:v>Kullanım notu</x:v>
      </x:c>
      <x:c r="J13" s="205" t="str">
        <x:v>Kullanım notu</x:v>
      </x:c>
      <x:c r="K13" s="205" t="str">
        <x:v>Kullanım notu</x:v>
      </x:c>
      <x:c r="L13" s="205" t="str">
        <x:v>Kullanım notu</x:v>
      </x:c>
      <x:c r="M13" s="205" t="str">
        <x:v>Kullanım notu</x:v>
      </x:c>
      <x:c r="N13" s="205" t="str">
        <x:v>Kullanım notu</x:v>
      </x:c>
      <x:c r="O13" s="205" t="str">
        <x:v>Kullanım notu</x:v>
      </x:c>
      <x:c r="P13" s="205" t="str">
        <x:v>Kullanım notu</x:v>
      </x:c>
      <x:c r="Q13" s="205" t="str">
        <x:v>Kullanım notu</x:v>
      </x:c>
      <x:c r="R13" s="206" t="str">
        <x:v>Kullanım notu</x:v>
      </x:c>
    </x:row>
    <x:row r="14" ht="32" customHeight="1">
      <x:c r="A14" s="283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B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C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D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E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F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G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H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I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J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K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L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M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N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O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P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Q14" s="284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R14" s="285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</x:row>
    <x:row r="15" ht="32" customHeight="1">
      <x:c r="A15" s="286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B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C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D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E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F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G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H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I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J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K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L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M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N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O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P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Q15" s="287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  <x:c r="R15" s="288" t="str">
        <x:v>Bu seri ön deneme planıdır; gerçek üretimden önce işlenebilirlik, priz, yoğunluk ve 7/28 günlük basınç dayanımı laboratuvarda doğrulanmalıdır. Özellikle RCA'nın nem durumu ve GGBFS'nin aktivitesi için düzeltme yapılmalıdır.</x:v>
      </x:c>
    </x:row>
  </x:sheetData>
  <x:mergeCells>
    <x:mergeCell ref="A1:R1"/>
    <x:mergeCell ref="A2:R2"/>
    <x:mergeCell ref="A4:R4"/>
    <x:mergeCell ref="A13:R13"/>
    <x:mergeCell ref="A14:R15"/>
  </x:mergeCells>
  <x:pageMargins left="0.7" right="0.7" top="0.75" bottom="0.75" header="0.3" footer="0.3"/>
</x:worksheet>
</file>